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paredes\Documents\SPSA\05_ProyectoCAPO\"/>
    </mc:Choice>
  </mc:AlternateContent>
  <xr:revisionPtr revIDLastSave="0" documentId="13_ncr:1_{4A436A60-B7BD-497A-9F1E-15449B77B71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Sheet1!$A$1:$R$115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1" i="1" l="1"/>
  <c r="N53" i="1"/>
  <c r="N74" i="1"/>
  <c r="N27" i="1"/>
  <c r="N69" i="1"/>
  <c r="N81" i="1"/>
  <c r="N48" i="1"/>
  <c r="N93" i="1"/>
  <c r="N79" i="1"/>
  <c r="Q79" i="1" s="1"/>
  <c r="N40" i="1"/>
  <c r="Q40" i="1" s="1"/>
  <c r="N91" i="1"/>
  <c r="N65" i="1"/>
  <c r="N47" i="1"/>
  <c r="N75" i="1"/>
  <c r="N45" i="1"/>
  <c r="N78" i="1"/>
  <c r="N101" i="1"/>
  <c r="N51" i="1"/>
  <c r="N67" i="1"/>
  <c r="N106" i="1"/>
  <c r="N109" i="1"/>
  <c r="Q109" i="1" s="1"/>
  <c r="N7" i="1"/>
  <c r="Q7" i="1" s="1"/>
  <c r="N20" i="1"/>
  <c r="N110" i="1"/>
  <c r="N12" i="1"/>
  <c r="N26" i="1"/>
  <c r="N25" i="1"/>
  <c r="N6" i="1"/>
  <c r="N60" i="1"/>
  <c r="N104" i="1"/>
  <c r="N13" i="1"/>
  <c r="N43" i="1"/>
  <c r="N72" i="1"/>
  <c r="N32" i="1"/>
  <c r="Q32" i="1" s="1"/>
  <c r="N21" i="1"/>
  <c r="N98" i="1"/>
  <c r="N82" i="1"/>
  <c r="N80" i="1"/>
  <c r="N84" i="1"/>
  <c r="N99" i="1"/>
  <c r="N49" i="1"/>
  <c r="N68" i="1"/>
  <c r="N15" i="1"/>
  <c r="N89" i="1"/>
  <c r="N111" i="1"/>
  <c r="Q111" i="1" s="1"/>
  <c r="N107" i="1"/>
  <c r="Q107" i="1" s="1"/>
  <c r="N63" i="1"/>
  <c r="N54" i="1"/>
  <c r="N31" i="1"/>
  <c r="N62" i="1"/>
  <c r="N50" i="1"/>
  <c r="N39" i="1"/>
  <c r="N42" i="1"/>
  <c r="N35" i="1"/>
  <c r="N102" i="1"/>
  <c r="N57" i="1"/>
  <c r="N38" i="1"/>
  <c r="Q38" i="1" s="1"/>
  <c r="N71" i="1"/>
  <c r="Q71" i="1" s="1"/>
  <c r="N18" i="1"/>
  <c r="Q18" i="1" s="1"/>
  <c r="N61" i="1"/>
  <c r="N86" i="1"/>
  <c r="N95" i="1"/>
  <c r="N94" i="1"/>
  <c r="N30" i="1"/>
  <c r="N114" i="1"/>
  <c r="N58" i="1"/>
  <c r="N103" i="1"/>
  <c r="N19" i="1"/>
  <c r="N44" i="1"/>
  <c r="Q44" i="1" s="1"/>
  <c r="N52" i="1"/>
  <c r="Q52" i="1" s="1"/>
  <c r="N76" i="1"/>
  <c r="N64" i="1"/>
  <c r="N2" i="1"/>
  <c r="N16" i="1"/>
  <c r="N96" i="1"/>
  <c r="N59" i="1"/>
  <c r="N10" i="1"/>
  <c r="N28" i="1"/>
  <c r="N9" i="1"/>
  <c r="N46" i="1"/>
  <c r="N83" i="1"/>
  <c r="Q83" i="1" s="1"/>
  <c r="N23" i="1"/>
  <c r="Q23" i="1" s="1"/>
  <c r="N92" i="1"/>
  <c r="N56" i="1"/>
  <c r="N105" i="1"/>
  <c r="N29" i="1"/>
  <c r="N22" i="1"/>
  <c r="N88" i="1"/>
  <c r="N100" i="1"/>
  <c r="N8" i="1"/>
  <c r="N115" i="1"/>
  <c r="N55" i="1"/>
  <c r="N90" i="1"/>
  <c r="Q90" i="1" s="1"/>
  <c r="N37" i="1"/>
  <c r="Q37" i="1" s="1"/>
  <c r="N77" i="1"/>
  <c r="N17" i="1"/>
  <c r="N108" i="1"/>
  <c r="N97" i="1"/>
  <c r="N33" i="1"/>
  <c r="N85" i="1"/>
  <c r="N112" i="1"/>
  <c r="N3" i="1"/>
  <c r="N73" i="1"/>
  <c r="N34" i="1"/>
  <c r="N66" i="1"/>
  <c r="N113" i="1"/>
  <c r="N70" i="1"/>
  <c r="N41" i="1"/>
  <c r="N4" i="1"/>
  <c r="N36" i="1"/>
  <c r="N24" i="1"/>
  <c r="N5" i="1"/>
  <c r="N14" i="1"/>
  <c r="N87" i="1"/>
  <c r="O53" i="1"/>
  <c r="O74" i="1"/>
  <c r="Q74" i="1" s="1"/>
  <c r="O27" i="1"/>
  <c r="O69" i="1"/>
  <c r="O81" i="1"/>
  <c r="O48" i="1"/>
  <c r="O93" i="1"/>
  <c r="O79" i="1"/>
  <c r="O40" i="1"/>
  <c r="O91" i="1"/>
  <c r="O65" i="1"/>
  <c r="O47" i="1"/>
  <c r="O75" i="1"/>
  <c r="O45" i="1"/>
  <c r="Q45" i="1" s="1"/>
  <c r="O78" i="1"/>
  <c r="O101" i="1"/>
  <c r="Q101" i="1" s="1"/>
  <c r="O51" i="1"/>
  <c r="O67" i="1"/>
  <c r="O106" i="1"/>
  <c r="O109" i="1"/>
  <c r="O7" i="1"/>
  <c r="O20" i="1"/>
  <c r="O110" i="1"/>
  <c r="O12" i="1"/>
  <c r="O26" i="1"/>
  <c r="O25" i="1"/>
  <c r="O6" i="1"/>
  <c r="Q6" i="1" s="1"/>
  <c r="O60" i="1"/>
  <c r="Q60" i="1" s="1"/>
  <c r="O104" i="1"/>
  <c r="O13" i="1"/>
  <c r="O43" i="1"/>
  <c r="O72" i="1"/>
  <c r="O32" i="1"/>
  <c r="O21" i="1"/>
  <c r="O98" i="1"/>
  <c r="O82" i="1"/>
  <c r="O80" i="1"/>
  <c r="O84" i="1"/>
  <c r="O99" i="1"/>
  <c r="Q99" i="1" s="1"/>
  <c r="O49" i="1"/>
  <c r="Q49" i="1" s="1"/>
  <c r="O68" i="1"/>
  <c r="O15" i="1"/>
  <c r="O89" i="1"/>
  <c r="O111" i="1"/>
  <c r="O107" i="1"/>
  <c r="O63" i="1"/>
  <c r="O54" i="1"/>
  <c r="O31" i="1"/>
  <c r="O62" i="1"/>
  <c r="O50" i="1"/>
  <c r="Q50" i="1" s="1"/>
  <c r="O39" i="1"/>
  <c r="O42" i="1"/>
  <c r="O35" i="1"/>
  <c r="O102" i="1"/>
  <c r="O57" i="1"/>
  <c r="O38" i="1"/>
  <c r="O71" i="1"/>
  <c r="O61" i="1"/>
  <c r="O86" i="1"/>
  <c r="O95" i="1"/>
  <c r="O94" i="1"/>
  <c r="Q94" i="1" s="1"/>
  <c r="O30" i="1"/>
  <c r="Q30" i="1" s="1"/>
  <c r="O114" i="1"/>
  <c r="Q114" i="1" s="1"/>
  <c r="O58" i="1"/>
  <c r="O103" i="1"/>
  <c r="O19" i="1"/>
  <c r="O44" i="1"/>
  <c r="O11" i="1"/>
  <c r="O52" i="1"/>
  <c r="O76" i="1"/>
  <c r="O64" i="1"/>
  <c r="O2" i="1"/>
  <c r="O16" i="1"/>
  <c r="O96" i="1"/>
  <c r="O59" i="1"/>
  <c r="Q59" i="1" s="1"/>
  <c r="O10" i="1"/>
  <c r="O28" i="1"/>
  <c r="O9" i="1"/>
  <c r="O46" i="1"/>
  <c r="O83" i="1"/>
  <c r="O23" i="1"/>
  <c r="O92" i="1"/>
  <c r="O56" i="1"/>
  <c r="O105" i="1"/>
  <c r="O29" i="1"/>
  <c r="Q29" i="1" s="1"/>
  <c r="O22" i="1"/>
  <c r="Q22" i="1" s="1"/>
  <c r="O88" i="1"/>
  <c r="Q88" i="1" s="1"/>
  <c r="O100" i="1"/>
  <c r="O8" i="1"/>
  <c r="O115" i="1"/>
  <c r="O55" i="1"/>
  <c r="O90" i="1"/>
  <c r="O37" i="1"/>
  <c r="O77" i="1"/>
  <c r="O17" i="1"/>
  <c r="O108" i="1"/>
  <c r="O97" i="1"/>
  <c r="O33" i="1"/>
  <c r="Q33" i="1" s="1"/>
  <c r="O85" i="1"/>
  <c r="Q85" i="1" s="1"/>
  <c r="O112" i="1"/>
  <c r="O73" i="1"/>
  <c r="O34" i="1"/>
  <c r="O66" i="1"/>
  <c r="O113" i="1"/>
  <c r="O70" i="1"/>
  <c r="O41" i="1"/>
  <c r="O36" i="1"/>
  <c r="O24" i="1"/>
  <c r="O5" i="1"/>
  <c r="O14" i="1"/>
  <c r="O87" i="1"/>
  <c r="P93" i="1"/>
  <c r="P106" i="1"/>
  <c r="P43" i="1"/>
  <c r="P49" i="1"/>
  <c r="P89" i="1"/>
  <c r="P57" i="1"/>
  <c r="P19" i="1"/>
  <c r="P9" i="1"/>
  <c r="P115" i="1"/>
  <c r="I17" i="1"/>
  <c r="I88" i="1"/>
  <c r="I7" i="1"/>
  <c r="I45" i="1"/>
  <c r="I69" i="1"/>
  <c r="H17" i="1"/>
  <c r="H88" i="1"/>
  <c r="H7" i="1"/>
  <c r="H45" i="1"/>
  <c r="H69" i="1"/>
  <c r="G17" i="1"/>
  <c r="G88" i="1"/>
  <c r="G7" i="1"/>
  <c r="G45" i="1"/>
  <c r="G69" i="1"/>
  <c r="F17" i="1"/>
  <c r="F88" i="1"/>
  <c r="F7" i="1"/>
  <c r="F45" i="1"/>
  <c r="F69" i="1"/>
  <c r="E17" i="1"/>
  <c r="E88" i="1"/>
  <c r="E7" i="1"/>
  <c r="E45" i="1"/>
  <c r="E69" i="1"/>
  <c r="D17" i="1"/>
  <c r="D88" i="1"/>
  <c r="D7" i="1"/>
  <c r="D45" i="1"/>
  <c r="D69" i="1"/>
  <c r="C17" i="1"/>
  <c r="C88" i="1"/>
  <c r="C7" i="1"/>
  <c r="C45" i="1"/>
  <c r="C69" i="1"/>
  <c r="P99" i="1" l="1"/>
  <c r="Q46" i="1"/>
  <c r="P41" i="1"/>
  <c r="P17" i="1"/>
  <c r="P56" i="1"/>
  <c r="P64" i="1"/>
  <c r="P86" i="1"/>
  <c r="P31" i="1"/>
  <c r="P82" i="1"/>
  <c r="P12" i="1"/>
  <c r="P47" i="1"/>
  <c r="Q19" i="1"/>
  <c r="R19" i="1" s="1"/>
  <c r="P97" i="1"/>
  <c r="P29" i="1"/>
  <c r="P16" i="1"/>
  <c r="P94" i="1"/>
  <c r="R94" i="1" s="1"/>
  <c r="P50" i="1"/>
  <c r="R50" i="1" s="1"/>
  <c r="P84" i="1"/>
  <c r="P25" i="1"/>
  <c r="P45" i="1"/>
  <c r="R45" i="1" s="1"/>
  <c r="P74" i="1"/>
  <c r="R74" i="1" s="1"/>
  <c r="R99" i="1"/>
  <c r="R29" i="1"/>
  <c r="Q89" i="1"/>
  <c r="R89" i="1" s="1"/>
  <c r="Q106" i="1"/>
  <c r="R106" i="1" s="1"/>
  <c r="Q93" i="1"/>
  <c r="R93" i="1" s="1"/>
  <c r="Q9" i="1"/>
  <c r="R9" i="1" s="1"/>
  <c r="Q103" i="1"/>
  <c r="Q102" i="1"/>
  <c r="Q13" i="1"/>
  <c r="Q67" i="1"/>
  <c r="Q56" i="1"/>
  <c r="R56" i="1" s="1"/>
  <c r="Q104" i="1"/>
  <c r="Q51" i="1"/>
  <c r="Q81" i="1"/>
  <c r="Q10" i="1"/>
  <c r="Q69" i="1"/>
  <c r="Q84" i="1"/>
  <c r="Q97" i="1"/>
  <c r="Q16" i="1"/>
  <c r="R16" i="1" s="1"/>
  <c r="Q95" i="1"/>
  <c r="R49" i="1"/>
  <c r="Q42" i="1"/>
  <c r="Q39" i="1"/>
  <c r="Q78" i="1"/>
  <c r="Q27" i="1"/>
  <c r="Q24" i="1"/>
  <c r="Q25" i="1"/>
  <c r="Q55" i="1"/>
  <c r="Q72" i="1"/>
  <c r="Q62" i="1"/>
  <c r="Q80" i="1"/>
  <c r="Q26" i="1"/>
  <c r="Q75" i="1"/>
  <c r="Q53" i="1"/>
  <c r="Q115" i="1"/>
  <c r="R115" i="1" s="1"/>
  <c r="Q57" i="1"/>
  <c r="R57" i="1" s="1"/>
  <c r="Q43" i="1"/>
  <c r="R43" i="1" s="1"/>
  <c r="Q108" i="1"/>
  <c r="Q2" i="1"/>
  <c r="Q86" i="1"/>
  <c r="Q31" i="1"/>
  <c r="Q82" i="1"/>
  <c r="Q12" i="1"/>
  <c r="Q47" i="1"/>
  <c r="Q11" i="1"/>
  <c r="Q87" i="1"/>
  <c r="Q3" i="1"/>
  <c r="R3" i="1" s="1"/>
  <c r="Q8" i="1"/>
  <c r="Q28" i="1"/>
  <c r="Q15" i="1"/>
  <c r="Q48" i="1"/>
  <c r="Q64" i="1"/>
  <c r="Q61" i="1"/>
  <c r="Q54" i="1"/>
  <c r="Q98" i="1"/>
  <c r="Q110" i="1"/>
  <c r="Q65" i="1"/>
  <c r="Q112" i="1"/>
  <c r="Q100" i="1"/>
  <c r="Q58" i="1"/>
  <c r="Q35" i="1"/>
  <c r="Q68" i="1"/>
  <c r="Q77" i="1"/>
  <c r="Q92" i="1"/>
  <c r="Q76" i="1"/>
  <c r="Q63" i="1"/>
  <c r="Q21" i="1"/>
  <c r="Q20" i="1"/>
  <c r="Q91" i="1"/>
  <c r="P53" i="1"/>
  <c r="R53" i="1" s="1"/>
  <c r="Q4" i="1"/>
  <c r="Q105" i="1"/>
  <c r="Q73" i="1"/>
  <c r="P108" i="1"/>
  <c r="P95" i="1"/>
  <c r="P62" i="1"/>
  <c r="P80" i="1"/>
  <c r="P26" i="1"/>
  <c r="P75" i="1"/>
  <c r="P105" i="1"/>
  <c r="P18" i="1"/>
  <c r="R18" i="1" s="1"/>
  <c r="P63" i="1"/>
  <c r="P20" i="1"/>
  <c r="P91" i="1"/>
  <c r="P71" i="1"/>
  <c r="R71" i="1" s="1"/>
  <c r="P107" i="1"/>
  <c r="R107" i="1" s="1"/>
  <c r="P7" i="1"/>
  <c r="R7" i="1" s="1"/>
  <c r="P40" i="1"/>
  <c r="R40" i="1" s="1"/>
  <c r="P79" i="1"/>
  <c r="R79" i="1" s="1"/>
  <c r="P37" i="1"/>
  <c r="R37" i="1" s="1"/>
  <c r="P23" i="1"/>
  <c r="R23" i="1" s="1"/>
  <c r="P52" i="1"/>
  <c r="R52" i="1" s="1"/>
  <c r="P21" i="1"/>
  <c r="P11" i="1"/>
  <c r="P44" i="1"/>
  <c r="R44" i="1" s="1"/>
  <c r="P103" i="1"/>
  <c r="P102" i="1"/>
  <c r="P67" i="1"/>
  <c r="P48" i="1"/>
  <c r="Q36" i="1"/>
  <c r="P42" i="1"/>
  <c r="P30" i="1"/>
  <c r="R30" i="1" s="1"/>
  <c r="P39" i="1"/>
  <c r="P6" i="1"/>
  <c r="R6" i="1" s="1"/>
  <c r="P78" i="1"/>
  <c r="P27" i="1"/>
  <c r="P8" i="1"/>
  <c r="P28" i="1"/>
  <c r="P15" i="1"/>
  <c r="P13" i="1"/>
  <c r="Q96" i="1"/>
  <c r="Q66" i="1"/>
  <c r="P85" i="1"/>
  <c r="R85" i="1" s="1"/>
  <c r="P88" i="1"/>
  <c r="R88" i="1" s="1"/>
  <c r="P59" i="1"/>
  <c r="R59" i="1" s="1"/>
  <c r="P114" i="1"/>
  <c r="R114" i="1" s="1"/>
  <c r="P60" i="1"/>
  <c r="R60" i="1" s="1"/>
  <c r="P101" i="1"/>
  <c r="R101" i="1" s="1"/>
  <c r="P69" i="1"/>
  <c r="Q34" i="1"/>
  <c r="P96" i="1"/>
  <c r="Q70" i="1"/>
  <c r="Q113" i="1"/>
  <c r="P83" i="1"/>
  <c r="R83" i="1" s="1"/>
  <c r="P32" i="1"/>
  <c r="R32" i="1" s="1"/>
  <c r="Q14" i="1"/>
  <c r="Q5" i="1"/>
  <c r="Q41" i="1"/>
  <c r="R41" i="1" s="1"/>
  <c r="Q17" i="1"/>
  <c r="R17" i="1" s="1"/>
  <c r="P35" i="1"/>
  <c r="P68" i="1"/>
  <c r="P104" i="1"/>
  <c r="P51" i="1"/>
  <c r="P81" i="1"/>
  <c r="R81" i="1" s="1"/>
  <c r="P65" i="1"/>
  <c r="P112" i="1"/>
  <c r="P100" i="1"/>
  <c r="P10" i="1"/>
  <c r="P58" i="1"/>
  <c r="P34" i="1"/>
  <c r="P55" i="1"/>
  <c r="P46" i="1"/>
  <c r="R46" i="1" s="1"/>
  <c r="P38" i="1"/>
  <c r="R38" i="1" s="1"/>
  <c r="P111" i="1"/>
  <c r="R111" i="1" s="1"/>
  <c r="P72" i="1"/>
  <c r="P109" i="1"/>
  <c r="R109" i="1" s="1"/>
  <c r="P54" i="1"/>
  <c r="P98" i="1"/>
  <c r="P110" i="1"/>
  <c r="P66" i="1"/>
  <c r="P90" i="1"/>
  <c r="R90" i="1" s="1"/>
  <c r="P73" i="1"/>
  <c r="P5" i="1"/>
  <c r="P33" i="1"/>
  <c r="R33" i="1" s="1"/>
  <c r="P22" i="1"/>
  <c r="R22" i="1" s="1"/>
  <c r="P70" i="1"/>
  <c r="P92" i="1"/>
  <c r="P113" i="1"/>
  <c r="P14" i="1"/>
  <c r="P24" i="1"/>
  <c r="P36" i="1"/>
  <c r="P77" i="1"/>
  <c r="P76" i="1"/>
  <c r="P61" i="1"/>
  <c r="P87" i="1"/>
  <c r="R87" i="1" s="1"/>
  <c r="R31" i="1" l="1"/>
  <c r="R47" i="1"/>
  <c r="R10" i="1"/>
  <c r="R82" i="1"/>
  <c r="R97" i="1"/>
  <c r="R12" i="1"/>
  <c r="R64" i="1"/>
  <c r="R86" i="1"/>
  <c r="R112" i="1"/>
  <c r="R42" i="1"/>
  <c r="R26" i="1"/>
  <c r="R63" i="1"/>
  <c r="R67" i="1"/>
  <c r="R78" i="1"/>
  <c r="R104" i="1"/>
  <c r="R84" i="1"/>
  <c r="R110" i="1"/>
  <c r="R76" i="1"/>
  <c r="R95" i="1"/>
  <c r="R25" i="1"/>
  <c r="R51" i="1"/>
  <c r="R13" i="1"/>
  <c r="R102" i="1"/>
  <c r="R20" i="1"/>
  <c r="R27" i="1"/>
  <c r="R11" i="1"/>
  <c r="R65" i="1"/>
  <c r="R80" i="1"/>
  <c r="R73" i="1"/>
  <c r="R24" i="1"/>
  <c r="R55" i="1"/>
  <c r="R21" i="1"/>
  <c r="R58" i="1"/>
  <c r="R77" i="1"/>
  <c r="R39" i="1"/>
  <c r="R100" i="1"/>
  <c r="R72" i="1"/>
  <c r="R54" i="1"/>
  <c r="R2" i="1"/>
  <c r="R75" i="1"/>
  <c r="R92" i="1"/>
  <c r="R103" i="1"/>
  <c r="R91" i="1"/>
  <c r="R48" i="1"/>
  <c r="R15" i="1"/>
  <c r="R35" i="1"/>
  <c r="R69" i="1"/>
  <c r="R8" i="1"/>
  <c r="R98" i="1"/>
  <c r="R62" i="1"/>
  <c r="R68" i="1"/>
  <c r="R28" i="1"/>
  <c r="R108" i="1"/>
  <c r="R105" i="1"/>
  <c r="R61" i="1"/>
  <c r="R4" i="1"/>
  <c r="R36" i="1"/>
  <c r="R5" i="1"/>
  <c r="R113" i="1"/>
  <c r="R70" i="1"/>
  <c r="R34" i="1"/>
  <c r="R14" i="1"/>
  <c r="R96" i="1"/>
  <c r="R66" i="1"/>
</calcChain>
</file>

<file path=xl/sharedStrings.xml><?xml version="1.0" encoding="utf-8"?>
<sst xmlns="http://schemas.openxmlformats.org/spreadsheetml/2006/main" count="897" uniqueCount="290">
  <si>
    <t>Local</t>
  </si>
  <si>
    <t>codigo_local</t>
  </si>
  <si>
    <t>formato</t>
  </si>
  <si>
    <t>ubicacion</t>
  </si>
  <si>
    <t>cluster_comercial</t>
  </si>
  <si>
    <t>supervisor</t>
  </si>
  <si>
    <t>regional</t>
  </si>
  <si>
    <t>m2</t>
  </si>
  <si>
    <t>departamento</t>
  </si>
  <si>
    <t>Pvea Acho</t>
  </si>
  <si>
    <t>P159</t>
  </si>
  <si>
    <t>PLAZA VEA</t>
  </si>
  <si>
    <t>Lima + Callao</t>
  </si>
  <si>
    <t>BC2</t>
  </si>
  <si>
    <t>VIK ENCISO</t>
  </si>
  <si>
    <t>Sebastián Santangelo</t>
  </si>
  <si>
    <t>Lima</t>
  </si>
  <si>
    <t>Pvea Alfonso Ugarte</t>
  </si>
  <si>
    <t>P118</t>
  </si>
  <si>
    <t>BC3</t>
  </si>
  <si>
    <t>Pvea Arequipa</t>
  </si>
  <si>
    <t>P104</t>
  </si>
  <si>
    <t>Provincia</t>
  </si>
  <si>
    <t>JOE HUAMANCONDOR</t>
  </si>
  <si>
    <t>Sofía Villanueva</t>
  </si>
  <si>
    <t>Arequipa</t>
  </si>
  <si>
    <t>Pvea Ate</t>
  </si>
  <si>
    <t>P066</t>
  </si>
  <si>
    <t>RODOLFO OLIVRY</t>
  </si>
  <si>
    <t>Pvea Aventura Sjl</t>
  </si>
  <si>
    <t>Pvea Barranca</t>
  </si>
  <si>
    <t>P221</t>
  </si>
  <si>
    <t>PEPE ARAMBURU</t>
  </si>
  <si>
    <t>Pvea Bolichera</t>
  </si>
  <si>
    <t>P080</t>
  </si>
  <si>
    <t>Pvea Brasil</t>
  </si>
  <si>
    <t>P052</t>
  </si>
  <si>
    <t>Pvea Breña Centenario</t>
  </si>
  <si>
    <t>P224</t>
  </si>
  <si>
    <t>Pvea Cajamarca</t>
  </si>
  <si>
    <t>P225</t>
  </si>
  <si>
    <t>Cajamarca</t>
  </si>
  <si>
    <t>Pvea Callao</t>
  </si>
  <si>
    <t>P059</t>
  </si>
  <si>
    <t>Callao</t>
  </si>
  <si>
    <t>Pvea Centro Civico</t>
  </si>
  <si>
    <t>P134</t>
  </si>
  <si>
    <t>Pvea Ceres</t>
  </si>
  <si>
    <t>P112</t>
  </si>
  <si>
    <t>Pvea Chiclayo</t>
  </si>
  <si>
    <t>P102</t>
  </si>
  <si>
    <t>MELANY ALVARADO</t>
  </si>
  <si>
    <t>Lambayeque</t>
  </si>
  <si>
    <t>Pvea Chiclayo Mall</t>
  </si>
  <si>
    <t>Pvea Chimbote</t>
  </si>
  <si>
    <t>P130</t>
  </si>
  <si>
    <t>Ancash</t>
  </si>
  <si>
    <t>Pvea Chincha</t>
  </si>
  <si>
    <t>P142</t>
  </si>
  <si>
    <t>Ica</t>
  </si>
  <si>
    <t>Pvea Chosica</t>
  </si>
  <si>
    <t>P141</t>
  </si>
  <si>
    <t>Pvea Colonial</t>
  </si>
  <si>
    <t>P135</t>
  </si>
  <si>
    <t>Pvea Comas</t>
  </si>
  <si>
    <t>P084</t>
  </si>
  <si>
    <t>Pvea Cortijo</t>
  </si>
  <si>
    <t>P061</t>
  </si>
  <si>
    <t>A3</t>
  </si>
  <si>
    <t>JOHANNA VILCA</t>
  </si>
  <si>
    <t>Pvea Cuzco San Antonio</t>
  </si>
  <si>
    <t>Pvea El Agustino</t>
  </si>
  <si>
    <t>P261</t>
  </si>
  <si>
    <t>Pvea El Chacarero</t>
  </si>
  <si>
    <t>P123</t>
  </si>
  <si>
    <t>La Libertad</t>
  </si>
  <si>
    <t>Pvea El Ejercito</t>
  </si>
  <si>
    <t>P132</t>
  </si>
  <si>
    <t>PLAZA VEA SUPER</t>
  </si>
  <si>
    <t>DANIEL RODRIGUEZ</t>
  </si>
  <si>
    <t>Hernán Perroni</t>
  </si>
  <si>
    <t>Pvea Guardia Civil</t>
  </si>
  <si>
    <t>P133</t>
  </si>
  <si>
    <t>Pvea Higuereta</t>
  </si>
  <si>
    <t>P048</t>
  </si>
  <si>
    <t>Pvea Huacho</t>
  </si>
  <si>
    <t>P144</t>
  </si>
  <si>
    <t>Pvea Huancayo</t>
  </si>
  <si>
    <t>P115</t>
  </si>
  <si>
    <t>Junin</t>
  </si>
  <si>
    <t>Pvea Huaral</t>
  </si>
  <si>
    <t>P201</t>
  </si>
  <si>
    <t>Pvea Ica</t>
  </si>
  <si>
    <t>P122</t>
  </si>
  <si>
    <t>Pvea Ilo</t>
  </si>
  <si>
    <t>P516</t>
  </si>
  <si>
    <t>Moquegua</t>
  </si>
  <si>
    <t>Pvea Izaguirre</t>
  </si>
  <si>
    <t>P117</t>
  </si>
  <si>
    <t>Pvea Jockey Plaza</t>
  </si>
  <si>
    <t>P037</t>
  </si>
  <si>
    <t>Pvea Juliaca</t>
  </si>
  <si>
    <t>P147</t>
  </si>
  <si>
    <t>Puno</t>
  </si>
  <si>
    <t>Pvea La Curva</t>
  </si>
  <si>
    <t>P291</t>
  </si>
  <si>
    <t>Pvea La Molina</t>
  </si>
  <si>
    <t>P081</t>
  </si>
  <si>
    <t>Pvea La Placita</t>
  </si>
  <si>
    <t>P333</t>
  </si>
  <si>
    <t>Pvea Los Olivos</t>
  </si>
  <si>
    <t>P001</t>
  </si>
  <si>
    <t>Pvea Lurin</t>
  </si>
  <si>
    <t>P202</t>
  </si>
  <si>
    <t>Pvea Miraflores</t>
  </si>
  <si>
    <t>P064</t>
  </si>
  <si>
    <t>Pvea Moquegua</t>
  </si>
  <si>
    <t>P259</t>
  </si>
  <si>
    <t>Pvea Nuevo Chimbote</t>
  </si>
  <si>
    <t>P143</t>
  </si>
  <si>
    <t>Pvea Paita</t>
  </si>
  <si>
    <t>P226</t>
  </si>
  <si>
    <t>Piura</t>
  </si>
  <si>
    <t>Pvea Pisco</t>
  </si>
  <si>
    <t>P236</t>
  </si>
  <si>
    <t>Pvea Piura</t>
  </si>
  <si>
    <t>P145</t>
  </si>
  <si>
    <t>Pvea Primavera</t>
  </si>
  <si>
    <t>P068</t>
  </si>
  <si>
    <t>Pvea Pro</t>
  </si>
  <si>
    <t>P114</t>
  </si>
  <si>
    <t>Pvea Puente Piedra</t>
  </si>
  <si>
    <t>P119</t>
  </si>
  <si>
    <t>Pvea Puno</t>
  </si>
  <si>
    <t>P172</t>
  </si>
  <si>
    <t>Pvea Puruchuco</t>
  </si>
  <si>
    <t>P723</t>
  </si>
  <si>
    <t>Pvea Rimac</t>
  </si>
  <si>
    <t>P203</t>
  </si>
  <si>
    <t>Pvea Risso</t>
  </si>
  <si>
    <t>P089</t>
  </si>
  <si>
    <t>Pvea Salaverry</t>
  </si>
  <si>
    <t>P229</t>
  </si>
  <si>
    <t>Pvea San Borja</t>
  </si>
  <si>
    <t>P195</t>
  </si>
  <si>
    <t>Pvea San Isidro</t>
  </si>
  <si>
    <t>P227</t>
  </si>
  <si>
    <t>Pvea Santa Clara</t>
  </si>
  <si>
    <t>P126</t>
  </si>
  <si>
    <t>Pvea Sj Lurigancho</t>
  </si>
  <si>
    <t>P125</t>
  </si>
  <si>
    <t>Pvea Sjb Ayacucho</t>
  </si>
  <si>
    <t>2638</t>
  </si>
  <si>
    <t>Ayacucho</t>
  </si>
  <si>
    <t>Pvea Sucre</t>
  </si>
  <si>
    <t>P465</t>
  </si>
  <si>
    <t>Pvea Sullana</t>
  </si>
  <si>
    <t>P192</t>
  </si>
  <si>
    <t>Pvea Tacna</t>
  </si>
  <si>
    <t>P146</t>
  </si>
  <si>
    <t>Tacna</t>
  </si>
  <si>
    <t>Pvea Talara</t>
  </si>
  <si>
    <t>P177</t>
  </si>
  <si>
    <t>Pvea Talara Mall</t>
  </si>
  <si>
    <t>Pvea Trujillo</t>
  </si>
  <si>
    <t>P075</t>
  </si>
  <si>
    <t>Pvea Tumbes</t>
  </si>
  <si>
    <t>P724</t>
  </si>
  <si>
    <t>Tumbes</t>
  </si>
  <si>
    <t>Pvea Universitaria</t>
  </si>
  <si>
    <t>P120</t>
  </si>
  <si>
    <t>Pvea Ventanilla</t>
  </si>
  <si>
    <t>P231</t>
  </si>
  <si>
    <t>Pvo Huanuco</t>
  </si>
  <si>
    <t>SO03</t>
  </si>
  <si>
    <t>Huanuco</t>
  </si>
  <si>
    <t>Pvo Jaen</t>
  </si>
  <si>
    <t>SO04</t>
  </si>
  <si>
    <t>Pvo Pucallpa</t>
  </si>
  <si>
    <t>SO02</t>
  </si>
  <si>
    <t>Ucayali</t>
  </si>
  <si>
    <t>Pvo Tarapoto</t>
  </si>
  <si>
    <t>SO05</t>
  </si>
  <si>
    <t>San Martin</t>
  </si>
  <si>
    <t>Svea Alameda Sur</t>
  </si>
  <si>
    <t>P139</t>
  </si>
  <si>
    <t>Svea Ayacucho</t>
  </si>
  <si>
    <t>P108</t>
  </si>
  <si>
    <t>Svea Caminos Del Inca</t>
  </si>
  <si>
    <t>P010</t>
  </si>
  <si>
    <t>Svea Centro Trujillo</t>
  </si>
  <si>
    <t>P180</t>
  </si>
  <si>
    <t>PLAZA VEA EXPRESS</t>
  </si>
  <si>
    <t>FP</t>
  </si>
  <si>
    <t>Fátima León</t>
  </si>
  <si>
    <t>Svea Chaclacayo</t>
  </si>
  <si>
    <t>P258</t>
  </si>
  <si>
    <t>BC1</t>
  </si>
  <si>
    <t>Svea Chorrillos Iglesias</t>
  </si>
  <si>
    <t>P198</t>
  </si>
  <si>
    <t>Svea Cine Rimac</t>
  </si>
  <si>
    <t>P191</t>
  </si>
  <si>
    <t>Svea Corpac</t>
  </si>
  <si>
    <t>P110</t>
  </si>
  <si>
    <t>Svea Cuzco Quoyllur</t>
  </si>
  <si>
    <t>P223</t>
  </si>
  <si>
    <t>Cusco</t>
  </si>
  <si>
    <t>Svea Dasso</t>
  </si>
  <si>
    <t>P109</t>
  </si>
  <si>
    <t>A2</t>
  </si>
  <si>
    <t>Svea El Tambo</t>
  </si>
  <si>
    <t>P156</t>
  </si>
  <si>
    <t>Svea Grifo Kio</t>
  </si>
  <si>
    <t>P199</t>
  </si>
  <si>
    <t>K</t>
  </si>
  <si>
    <t>Svea Grifo Mexico</t>
  </si>
  <si>
    <t>P238</t>
  </si>
  <si>
    <t>Svea Jiron De La Union</t>
  </si>
  <si>
    <t>P138</t>
  </si>
  <si>
    <t>Svea La Paz</t>
  </si>
  <si>
    <t>P206</t>
  </si>
  <si>
    <t>Svea La Perla</t>
  </si>
  <si>
    <t>P219</t>
  </si>
  <si>
    <t>Svea La Victoria</t>
  </si>
  <si>
    <t>Svea Magdalena</t>
  </si>
  <si>
    <t>P215</t>
  </si>
  <si>
    <t>Svea Mercaderes</t>
  </si>
  <si>
    <t>P107</t>
  </si>
  <si>
    <t>Svea Multiplaza</t>
  </si>
  <si>
    <t>P178</t>
  </si>
  <si>
    <t>Melany Alvarado</t>
  </si>
  <si>
    <t>Svea Proceres</t>
  </si>
  <si>
    <t>P216</t>
  </si>
  <si>
    <t>Svea Salamanca</t>
  </si>
  <si>
    <t>P105</t>
  </si>
  <si>
    <t>Svea San Jorge</t>
  </si>
  <si>
    <t>P096</t>
  </si>
  <si>
    <t>Svea San Miguel</t>
  </si>
  <si>
    <t>1199</t>
  </si>
  <si>
    <t>Svea Ska</t>
  </si>
  <si>
    <t>Svea Trujillo Mansiche</t>
  </si>
  <si>
    <t>P193</t>
  </si>
  <si>
    <t>Svea Trujillo Valcarcel</t>
  </si>
  <si>
    <t>P220</t>
  </si>
  <si>
    <t>Svea Valle Hermoso</t>
  </si>
  <si>
    <t>P106</t>
  </si>
  <si>
    <t>Svea Villa El Salvador</t>
  </si>
  <si>
    <t>P158</t>
  </si>
  <si>
    <t>Svea Villa Marina</t>
  </si>
  <si>
    <t>P207</t>
  </si>
  <si>
    <t>Tarapoto 2</t>
  </si>
  <si>
    <t>SO06</t>
  </si>
  <si>
    <t>Viv Asia</t>
  </si>
  <si>
    <t>V290</t>
  </si>
  <si>
    <t>VIVANDA</t>
  </si>
  <si>
    <t>V2</t>
  </si>
  <si>
    <t>María Rojas</t>
  </si>
  <si>
    <t>Viv Benavides</t>
  </si>
  <si>
    <t>V094</t>
  </si>
  <si>
    <t>A1</t>
  </si>
  <si>
    <t>Viv Dos De Mayo</t>
  </si>
  <si>
    <t>V093</t>
  </si>
  <si>
    <t>Viv Javier Prado</t>
  </si>
  <si>
    <t>V116</t>
  </si>
  <si>
    <t>Viv Libertadores</t>
  </si>
  <si>
    <t>V140</t>
  </si>
  <si>
    <t>Viv Monterrico</t>
  </si>
  <si>
    <t>V095</t>
  </si>
  <si>
    <t>Viv Pardo</t>
  </si>
  <si>
    <t>V019</t>
  </si>
  <si>
    <t>Viv Pezet</t>
  </si>
  <si>
    <t>V090</t>
  </si>
  <si>
    <t>Xvea Art Express</t>
  </si>
  <si>
    <t>P422</t>
  </si>
  <si>
    <t>Xvea Bolognesi</t>
  </si>
  <si>
    <t>X209</t>
  </si>
  <si>
    <t>Xvea Santa Cruz</t>
  </si>
  <si>
    <t>X210</t>
  </si>
  <si>
    <t>P769</t>
  </si>
  <si>
    <t>P208</t>
  </si>
  <si>
    <t>P181</t>
  </si>
  <si>
    <t>P262</t>
  </si>
  <si>
    <t>he 2025</t>
  </si>
  <si>
    <t>he 2026</t>
  </si>
  <si>
    <t>rotac 2025</t>
  </si>
  <si>
    <t>rotac 2026</t>
  </si>
  <si>
    <t>delta rotc</t>
  </si>
  <si>
    <t>delta he</t>
  </si>
  <si>
    <t>flag rotc</t>
  </si>
  <si>
    <t>diffx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</si>
</sst>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2" xfId="1" applyNumberFormat="1" applyFont="1" applyFill="1" applyBorder="1" applyAlignment="1">
      <alignment horizontal="center" vertical="top"/>
    </xf>
    <xf numFmtId="164" fontId="0" fillId="0" borderId="0" xfId="1" applyNumberFormat="1" applyFont="1"/>
    <xf numFmtId="9" fontId="0" fillId="0" borderId="0" xfId="2" applyFont="1"/>
    <xf numFmtId="165" fontId="0" fillId="0" borderId="0" xfId="2" applyNumberFormat="1" applyFont="1"/>
    <xf numFmtId="164" fontId="1" fillId="0" borderId="0" xfId="1" applyNumberFormat="1" applyFont="1" applyFill="1" applyBorder="1" applyAlignment="1">
      <alignment horizontal="center" vertical="top"/>
    </xf>
    <xf numFmtId="165" fontId="1" fillId="0" borderId="1" xfId="2" applyNumberFormat="1" applyFont="1" applyBorder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5" fontId="0" fillId="0" borderId="0" xfId="2" applyNumberFormat="1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paredes\Documents\SPSA\05_ProyectoCAPO\df_local.xlsx" TargetMode="External"/><Relationship Id="rId1" Type="http://schemas.openxmlformats.org/officeDocument/2006/relationships/externalLinkPath" Target="df_loc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codigo_local</v>
          </cell>
          <cell r="B1" t="str">
            <v>formato</v>
          </cell>
          <cell r="C1" t="str">
            <v>ubicacion</v>
          </cell>
          <cell r="D1" t="str">
            <v>fecha_apertura</v>
          </cell>
          <cell r="E1" t="str">
            <v>fecha_inicio_venta</v>
          </cell>
          <cell r="F1" t="str">
            <v>fecha_inicio_sss</v>
          </cell>
          <cell r="G1" t="str">
            <v>nombre</v>
          </cell>
          <cell r="H1" t="str">
            <v>cluster</v>
          </cell>
          <cell r="I1" t="str">
            <v>supervisor</v>
          </cell>
          <cell r="J1" t="str">
            <v>regional</v>
          </cell>
          <cell r="K1" t="str">
            <v>zona_1</v>
          </cell>
          <cell r="L1" t="str">
            <v>tipo_sss</v>
          </cell>
          <cell r="M1" t="str">
            <v>m2</v>
          </cell>
          <cell r="N1" t="str">
            <v>zona_2</v>
          </cell>
          <cell r="O1" t="str">
            <v>cluster_comercial</v>
          </cell>
          <cell r="P1" t="str">
            <v>departamento</v>
          </cell>
          <cell r="Q1" t="str">
            <v>provincia</v>
          </cell>
          <cell r="R1" t="str">
            <v>Sede</v>
          </cell>
        </row>
        <row r="2">
          <cell r="A2" t="str">
            <v>M-384</v>
          </cell>
          <cell r="B2" t="str">
            <v>PLAZA VEA</v>
          </cell>
        </row>
        <row r="3">
          <cell r="A3" t="str">
            <v>M-381</v>
          </cell>
          <cell r="B3" t="str">
            <v>PLAZA VEA</v>
          </cell>
          <cell r="G3" t="str">
            <v>Qoyllur - PVH</v>
          </cell>
          <cell r="R3" t="str">
            <v>QOYLLUR</v>
          </cell>
        </row>
        <row r="4">
          <cell r="A4" t="str">
            <v>V285</v>
          </cell>
          <cell r="B4" t="str">
            <v>VIVANDA</v>
          </cell>
          <cell r="C4" t="str">
            <v>Lima + Callao</v>
          </cell>
          <cell r="D4">
            <v>43435</v>
          </cell>
          <cell r="G4" t="str">
            <v>Vivanda Ecommerce</v>
          </cell>
          <cell r="H4" t="str">
            <v>V1</v>
          </cell>
          <cell r="K4" t="str">
            <v>Sergio Agnello</v>
          </cell>
          <cell r="L4" t="str">
            <v>02</v>
          </cell>
          <cell r="N4" t="str">
            <v>Lima Metrop Sur</v>
          </cell>
          <cell r="O4" t="str">
            <v>E2</v>
          </cell>
          <cell r="P4" t="str">
            <v>Lima</v>
          </cell>
          <cell r="R4" t="str">
            <v>VIVANDA ECOMMERCE</v>
          </cell>
        </row>
        <row r="5">
          <cell r="A5" t="str">
            <v>P124</v>
          </cell>
          <cell r="B5" t="str">
            <v>PLAZA VEA</v>
          </cell>
          <cell r="C5" t="str">
            <v>Lima + Callao</v>
          </cell>
          <cell r="D5">
            <v>39932</v>
          </cell>
          <cell r="E5">
            <v>39932</v>
          </cell>
          <cell r="F5">
            <v>40299</v>
          </cell>
          <cell r="G5" t="str">
            <v>PVEA Zárate</v>
          </cell>
          <cell r="H5" t="str">
            <v>C3</v>
          </cell>
          <cell r="K5" t="str">
            <v>-</v>
          </cell>
          <cell r="L5" t="str">
            <v>01</v>
          </cell>
          <cell r="M5">
            <v>3866.21</v>
          </cell>
          <cell r="N5" t="str">
            <v>Lima Oriente</v>
          </cell>
          <cell r="P5" t="str">
            <v>Lima</v>
          </cell>
          <cell r="R5" t="str">
            <v>PVEA ZÁRATE</v>
          </cell>
        </row>
        <row r="6">
          <cell r="A6" t="str">
            <v>P286</v>
          </cell>
          <cell r="B6" t="str">
            <v>PLAZA VEA</v>
          </cell>
          <cell r="C6" t="str">
            <v>Lima + Callao</v>
          </cell>
          <cell r="G6" t="str">
            <v>PVEA Sucre Antiguo</v>
          </cell>
          <cell r="K6" t="str">
            <v>Sergio Agnello</v>
          </cell>
          <cell r="M6">
            <v>0</v>
          </cell>
          <cell r="P6" t="str">
            <v>Lima</v>
          </cell>
          <cell r="R6" t="str">
            <v>PVEA SUCRE ANTIGUO</v>
          </cell>
        </row>
        <row r="7">
          <cell r="A7" t="str">
            <v>P234</v>
          </cell>
          <cell r="B7" t="str">
            <v>PLAZA VEA</v>
          </cell>
          <cell r="C7" t="str">
            <v>null</v>
          </cell>
          <cell r="G7" t="str">
            <v>PVEA Canta Callao</v>
          </cell>
          <cell r="K7" t="str">
            <v>-</v>
          </cell>
          <cell r="L7" t="str">
            <v>1</v>
          </cell>
          <cell r="N7" t="str">
            <v>null</v>
          </cell>
          <cell r="P7" t="str">
            <v>null</v>
          </cell>
          <cell r="R7" t="str">
            <v>PVEA CANTA CALLAO</v>
          </cell>
        </row>
        <row r="8">
          <cell r="A8" t="str">
            <v>X000</v>
          </cell>
          <cell r="B8" t="str">
            <v>PLAZA VEA</v>
          </cell>
          <cell r="C8" t="str">
            <v>Lima + Callao</v>
          </cell>
          <cell r="G8" t="str">
            <v>no_usar1</v>
          </cell>
          <cell r="K8" t="str">
            <v>-</v>
          </cell>
          <cell r="R8" t="str">
            <v>NO_USAR1</v>
          </cell>
        </row>
        <row r="9">
          <cell r="A9" t="str">
            <v>P495</v>
          </cell>
          <cell r="B9" t="str">
            <v>PLAZA VEA</v>
          </cell>
          <cell r="C9" t="str">
            <v>Provincia</v>
          </cell>
          <cell r="D9">
            <v>43439</v>
          </cell>
          <cell r="E9">
            <v>43378</v>
          </cell>
          <cell r="F9">
            <v>43439</v>
          </cell>
          <cell r="G9" t="str">
            <v>PVEA Tarapoto</v>
          </cell>
          <cell r="H9" t="str">
            <v>B3</v>
          </cell>
          <cell r="K9" t="str">
            <v>Sergio Agnello</v>
          </cell>
          <cell r="L9" t="str">
            <v>02</v>
          </cell>
          <cell r="M9">
            <v>3739</v>
          </cell>
          <cell r="N9" t="str">
            <v>Resto Peru Norte</v>
          </cell>
          <cell r="P9" t="str">
            <v>San Martin</v>
          </cell>
          <cell r="R9" t="str">
            <v>PVEA TARAPOTO</v>
          </cell>
        </row>
        <row r="10">
          <cell r="A10" t="str">
            <v>P782</v>
          </cell>
          <cell r="B10" t="str">
            <v>PLAZA VEA</v>
          </cell>
          <cell r="C10" t="str">
            <v>Lima + Callao</v>
          </cell>
          <cell r="D10">
            <v>43951</v>
          </cell>
          <cell r="E10">
            <v>43951</v>
          </cell>
          <cell r="F10">
            <v>43952</v>
          </cell>
          <cell r="G10" t="str">
            <v>DARK STORE VES</v>
          </cell>
          <cell r="K10" t="str">
            <v>Sergio Agnello</v>
          </cell>
          <cell r="N10" t="str">
            <v>Lima Metrop Sur</v>
          </cell>
          <cell r="P10" t="str">
            <v>Lima</v>
          </cell>
          <cell r="R10" t="str">
            <v>DARK STORE VES</v>
          </cell>
        </row>
        <row r="11">
          <cell r="A11" t="str">
            <v>PV14</v>
          </cell>
          <cell r="B11" t="str">
            <v>PLAZA VEA</v>
          </cell>
          <cell r="C11" t="str">
            <v>Lima + Callao</v>
          </cell>
          <cell r="G11" t="str">
            <v>Collique - PVH</v>
          </cell>
          <cell r="H11" t="str">
            <v>Y1</v>
          </cell>
          <cell r="K11" t="str">
            <v>-</v>
          </cell>
          <cell r="N11" t="str">
            <v>null</v>
          </cell>
          <cell r="P11" t="str">
            <v>null</v>
          </cell>
          <cell r="R11" t="str">
            <v>COLLIQUE</v>
          </cell>
        </row>
        <row r="12">
          <cell r="A12" t="str">
            <v>P197</v>
          </cell>
          <cell r="B12" t="str">
            <v>PLAZA VEA</v>
          </cell>
          <cell r="C12" t="str">
            <v>Provincia</v>
          </cell>
          <cell r="D12">
            <v>41264</v>
          </cell>
          <cell r="E12">
            <v>41264</v>
          </cell>
          <cell r="F12">
            <v>41640</v>
          </cell>
          <cell r="G12" t="str">
            <v>PVEA Huánuco</v>
          </cell>
          <cell r="H12" t="str">
            <v>B3</v>
          </cell>
          <cell r="K12" t="str">
            <v>-</v>
          </cell>
          <cell r="L12" t="str">
            <v>01</v>
          </cell>
          <cell r="M12">
            <v>3653.91</v>
          </cell>
          <cell r="N12" t="str">
            <v>Resto Peru Norte</v>
          </cell>
          <cell r="P12" t="str">
            <v>Huanuco</v>
          </cell>
          <cell r="R12" t="str">
            <v>PVEA HUÁNUCO</v>
          </cell>
        </row>
        <row r="13">
          <cell r="A13" t="str">
            <v>P228</v>
          </cell>
          <cell r="B13" t="str">
            <v>PLAZA VEA</v>
          </cell>
          <cell r="C13" t="str">
            <v>Provincia</v>
          </cell>
          <cell r="E13">
            <v>41900</v>
          </cell>
          <cell r="F13">
            <v>42278</v>
          </cell>
          <cell r="G13" t="str">
            <v>PVEA Pucallpa</v>
          </cell>
          <cell r="H13" t="str">
            <v>B3</v>
          </cell>
          <cell r="K13" t="str">
            <v>-</v>
          </cell>
          <cell r="L13" t="str">
            <v>1</v>
          </cell>
          <cell r="M13">
            <v>0</v>
          </cell>
          <cell r="N13" t="str">
            <v>Resto Peru Norte</v>
          </cell>
          <cell r="P13" t="str">
            <v>Ucayali</v>
          </cell>
          <cell r="R13" t="str">
            <v>PVEA PUCALLPA</v>
          </cell>
        </row>
        <row r="14">
          <cell r="A14" t="str">
            <v>P129</v>
          </cell>
          <cell r="B14" t="str">
            <v>PLAZA VEA</v>
          </cell>
          <cell r="C14" t="str">
            <v>null</v>
          </cell>
          <cell r="D14">
            <v>1</v>
          </cell>
          <cell r="E14">
            <v>2</v>
          </cell>
          <cell r="F14">
            <v>398</v>
          </cell>
          <cell r="G14" t="str">
            <v>PVEA Ballena</v>
          </cell>
          <cell r="K14" t="str">
            <v>-</v>
          </cell>
          <cell r="L14" t="str">
            <v>01</v>
          </cell>
          <cell r="N14" t="str">
            <v>null</v>
          </cell>
          <cell r="P14" t="str">
            <v>null</v>
          </cell>
          <cell r="R14" t="str">
            <v>PVEA BALLENA</v>
          </cell>
        </row>
        <row r="15">
          <cell r="A15" t="str">
            <v>P235</v>
          </cell>
          <cell r="B15" t="str">
            <v>PLAZA VEA</v>
          </cell>
          <cell r="C15" t="str">
            <v>Provincia</v>
          </cell>
          <cell r="E15">
            <v>41979</v>
          </cell>
          <cell r="F15">
            <v>42370</v>
          </cell>
          <cell r="G15" t="str">
            <v>PVEA Cusco San Jerónimo</v>
          </cell>
          <cell r="H15" t="str">
            <v>C3</v>
          </cell>
          <cell r="K15" t="str">
            <v>-</v>
          </cell>
          <cell r="L15" t="str">
            <v>1</v>
          </cell>
          <cell r="M15">
            <v>0</v>
          </cell>
          <cell r="N15" t="str">
            <v>Resto Peru Sur</v>
          </cell>
          <cell r="P15" t="str">
            <v>Cusco</v>
          </cell>
          <cell r="R15" t="str">
            <v>PVEA CUSCO SAN JERÓNIMO</v>
          </cell>
        </row>
        <row r="16">
          <cell r="A16" t="str">
            <v>P260</v>
          </cell>
          <cell r="B16" t="str">
            <v>PLAZA VEA</v>
          </cell>
          <cell r="C16" t="str">
            <v>Provincia</v>
          </cell>
          <cell r="D16">
            <v>42335</v>
          </cell>
          <cell r="E16">
            <v>42335</v>
          </cell>
          <cell r="G16" t="str">
            <v>PVEA Jaen</v>
          </cell>
          <cell r="H16" t="str">
            <v>C3</v>
          </cell>
          <cell r="K16" t="str">
            <v>Sergio Agnello</v>
          </cell>
          <cell r="L16" t="str">
            <v>02</v>
          </cell>
          <cell r="M16">
            <v>3500</v>
          </cell>
          <cell r="N16" t="str">
            <v>Resto Peru Norte</v>
          </cell>
          <cell r="P16" t="str">
            <v>Cajamarca</v>
          </cell>
          <cell r="R16" t="str">
            <v>PVEA JAEN</v>
          </cell>
        </row>
        <row r="17">
          <cell r="A17" t="str">
            <v>P222</v>
          </cell>
          <cell r="B17" t="str">
            <v>PLAZA VEA</v>
          </cell>
          <cell r="C17" t="str">
            <v>Provincia</v>
          </cell>
          <cell r="D17">
            <v>41607</v>
          </cell>
          <cell r="E17">
            <v>41607</v>
          </cell>
          <cell r="F17">
            <v>41974</v>
          </cell>
          <cell r="G17" t="str">
            <v>PVEA Sullana Mall</v>
          </cell>
          <cell r="H17" t="str">
            <v>B3</v>
          </cell>
          <cell r="K17" t="str">
            <v>-</v>
          </cell>
          <cell r="L17" t="str">
            <v>02</v>
          </cell>
          <cell r="M17">
            <v>4047</v>
          </cell>
          <cell r="N17" t="str">
            <v>Piura</v>
          </cell>
          <cell r="P17" t="str">
            <v>Piura</v>
          </cell>
          <cell r="R17" t="str">
            <v>PVEA SULLANA MALL</v>
          </cell>
        </row>
        <row r="18">
          <cell r="A18" t="str">
            <v>P232</v>
          </cell>
          <cell r="B18" t="str">
            <v>PLAZA VEA</v>
          </cell>
          <cell r="C18" t="str">
            <v>null</v>
          </cell>
          <cell r="G18" t="str">
            <v>SVEA Amapolas</v>
          </cell>
          <cell r="K18" t="str">
            <v>-</v>
          </cell>
          <cell r="L18" t="str">
            <v>1</v>
          </cell>
          <cell r="N18" t="str">
            <v>null</v>
          </cell>
          <cell r="P18" t="str">
            <v>null</v>
          </cell>
          <cell r="R18" t="str">
            <v>SVEA AMAPOLAS</v>
          </cell>
        </row>
        <row r="19">
          <cell r="A19" t="str">
            <v>2899</v>
          </cell>
          <cell r="B19" t="str">
            <v>PLAZA VEA</v>
          </cell>
          <cell r="C19" t="str">
            <v>Lima + Callao</v>
          </cell>
          <cell r="D19">
            <v>46079</v>
          </cell>
          <cell r="G19" t="str">
            <v>Pv Ecomerce  Merma</v>
          </cell>
          <cell r="K19" t="str">
            <v>Sergio Agnello</v>
          </cell>
          <cell r="P19" t="str">
            <v>Lima</v>
          </cell>
          <cell r="Q19" t="str">
            <v>Lima</v>
          </cell>
          <cell r="R19" t="str">
            <v>PV ECOMERCE  MERMA</v>
          </cell>
        </row>
        <row r="20">
          <cell r="A20" t="str">
            <v>P131</v>
          </cell>
          <cell r="B20" t="str">
            <v>PLAZA VEA</v>
          </cell>
          <cell r="C20" t="str">
            <v>null</v>
          </cell>
          <cell r="D20">
            <v>1</v>
          </cell>
          <cell r="E20">
            <v>2</v>
          </cell>
          <cell r="F20">
            <v>398</v>
          </cell>
          <cell r="G20" t="str">
            <v>PVEA Dragón</v>
          </cell>
          <cell r="K20" t="str">
            <v>-</v>
          </cell>
          <cell r="L20" t="str">
            <v>01</v>
          </cell>
          <cell r="N20" t="str">
            <v>null</v>
          </cell>
          <cell r="P20" t="str">
            <v>null</v>
          </cell>
          <cell r="R20" t="str">
            <v>PVEA DRAGÓN</v>
          </cell>
        </row>
        <row r="21">
          <cell r="A21" t="str">
            <v>P106</v>
          </cell>
          <cell r="B21" t="str">
            <v>PLAZA VEA</v>
          </cell>
          <cell r="C21" t="str">
            <v>Lima + Callao</v>
          </cell>
          <cell r="D21">
            <v>39479</v>
          </cell>
          <cell r="E21">
            <v>39479</v>
          </cell>
          <cell r="F21">
            <v>39845</v>
          </cell>
          <cell r="G21" t="str">
            <v>Valle Hermoso - PVH</v>
          </cell>
          <cell r="H21" t="str">
            <v>A2</v>
          </cell>
          <cell r="I21" t="str">
            <v>DANIEL RODRIGUEZ</v>
          </cell>
          <cell r="J21" t="str">
            <v>Hernán Perroni</v>
          </cell>
          <cell r="K21" t="str">
            <v>VERONICA VALDEZ</v>
          </cell>
          <cell r="L21" t="str">
            <v>01</v>
          </cell>
          <cell r="M21">
            <v>2095</v>
          </cell>
          <cell r="N21" t="str">
            <v>Lima Metrop Oriente</v>
          </cell>
          <cell r="O21" t="str">
            <v>A2</v>
          </cell>
          <cell r="P21" t="str">
            <v>Lima</v>
          </cell>
          <cell r="Q21" t="str">
            <v>Lima</v>
          </cell>
          <cell r="R21" t="str">
            <v>VALLE HERMOSO</v>
          </cell>
        </row>
        <row r="22">
          <cell r="A22" t="str">
            <v>P132</v>
          </cell>
          <cell r="B22" t="str">
            <v>PLAZA VEA SUPER</v>
          </cell>
          <cell r="C22" t="str">
            <v>Provincia</v>
          </cell>
          <cell r="D22">
            <v>40366</v>
          </cell>
          <cell r="E22">
            <v>40366</v>
          </cell>
          <cell r="F22">
            <v>40756</v>
          </cell>
          <cell r="G22" t="str">
            <v>El Ejercito - PVS</v>
          </cell>
          <cell r="H22" t="str">
            <v>A2</v>
          </cell>
          <cell r="I22" t="str">
            <v>DANIEL RODRIGUEZ</v>
          </cell>
          <cell r="J22" t="str">
            <v>Hernán Perroni</v>
          </cell>
          <cell r="K22" t="str">
            <v>VERONICA VALDEZ</v>
          </cell>
          <cell r="L22" t="str">
            <v>01</v>
          </cell>
          <cell r="M22">
            <v>1804</v>
          </cell>
          <cell r="N22" t="str">
            <v>Arequipa</v>
          </cell>
          <cell r="O22" t="str">
            <v>BC2</v>
          </cell>
          <cell r="P22" t="str">
            <v>Arequipa</v>
          </cell>
          <cell r="Q22" t="str">
            <v>Arequipa</v>
          </cell>
          <cell r="R22" t="str">
            <v>EL EJERCITO</v>
          </cell>
        </row>
        <row r="23">
          <cell r="A23" t="str">
            <v>P264</v>
          </cell>
          <cell r="B23" t="str">
            <v>PLAZA VEA</v>
          </cell>
          <cell r="C23" t="str">
            <v>Lima + Callao</v>
          </cell>
          <cell r="D23">
            <v>42815</v>
          </cell>
          <cell r="E23">
            <v>42815</v>
          </cell>
          <cell r="F23">
            <v>43191</v>
          </cell>
          <cell r="G23" t="str">
            <v>E-Commerce Non Food</v>
          </cell>
          <cell r="H23" t="str">
            <v>E1</v>
          </cell>
          <cell r="I23" t="str">
            <v>No Operativa</v>
          </cell>
          <cell r="J23" t="str">
            <v>No Operativa</v>
          </cell>
          <cell r="K23" t="str">
            <v>Sergio Agnello</v>
          </cell>
          <cell r="M23">
            <v>0</v>
          </cell>
          <cell r="N23" t="str">
            <v>Lima Metrop Sur</v>
          </cell>
          <cell r="O23" t="str">
            <v>E1</v>
          </cell>
          <cell r="P23" t="str">
            <v>Lima</v>
          </cell>
          <cell r="Q23" t="str">
            <v>Lima</v>
          </cell>
          <cell r="R23" t="str">
            <v>E-COMMERCE NON FOOD</v>
          </cell>
        </row>
        <row r="24">
          <cell r="A24" t="str">
            <v>P120</v>
          </cell>
          <cell r="B24" t="str">
            <v>PLAZA VEA</v>
          </cell>
          <cell r="C24" t="str">
            <v>Lima + Callao</v>
          </cell>
          <cell r="D24">
            <v>39722</v>
          </cell>
          <cell r="E24">
            <v>39722</v>
          </cell>
          <cell r="F24">
            <v>40087</v>
          </cell>
          <cell r="G24" t="str">
            <v>Universitaria - PVH</v>
          </cell>
          <cell r="H24" t="str">
            <v>C3</v>
          </cell>
          <cell r="I24" t="str">
            <v>VIK ENCISO</v>
          </cell>
          <cell r="J24" t="str">
            <v>Sebastián Santangelo</v>
          </cell>
          <cell r="K24" t="str">
            <v>VERONICA VALDEZ</v>
          </cell>
          <cell r="L24" t="str">
            <v>01</v>
          </cell>
          <cell r="M24">
            <v>4012</v>
          </cell>
          <cell r="N24" t="str">
            <v>Lima Cono Norte</v>
          </cell>
          <cell r="O24" t="str">
            <v>BC3</v>
          </cell>
          <cell r="P24" t="str">
            <v>Lima</v>
          </cell>
          <cell r="Q24" t="str">
            <v>Lima</v>
          </cell>
          <cell r="R24" t="str">
            <v>UNIVERSITARIA</v>
          </cell>
        </row>
        <row r="25">
          <cell r="A25" t="str">
            <v>P081</v>
          </cell>
          <cell r="B25" t="str">
            <v>PLAZA VEA</v>
          </cell>
          <cell r="C25" t="str">
            <v>Lima + Callao</v>
          </cell>
          <cell r="D25">
            <v>38412</v>
          </cell>
          <cell r="E25">
            <v>38412</v>
          </cell>
          <cell r="F25">
            <v>38777</v>
          </cell>
          <cell r="G25" t="str">
            <v>La Molina - PVH</v>
          </cell>
          <cell r="H25" t="str">
            <v>A3</v>
          </cell>
          <cell r="I25" t="str">
            <v>JOHANNA VILCA</v>
          </cell>
          <cell r="J25" t="str">
            <v>Sebastián Santangelo</v>
          </cell>
          <cell r="K25" t="str">
            <v>VERONICA VALDEZ</v>
          </cell>
          <cell r="L25" t="str">
            <v>01</v>
          </cell>
          <cell r="M25">
            <v>4506</v>
          </cell>
          <cell r="N25" t="str">
            <v>Lima Metrop Oriente</v>
          </cell>
          <cell r="O25" t="str">
            <v>A3</v>
          </cell>
          <cell r="P25" t="str">
            <v>Lima</v>
          </cell>
          <cell r="Q25" t="str">
            <v>Lima</v>
          </cell>
          <cell r="R25" t="str">
            <v>LA MOLINA</v>
          </cell>
        </row>
        <row r="26">
          <cell r="A26" t="str">
            <v>P135</v>
          </cell>
          <cell r="B26" t="str">
            <v>PLAZA VEA</v>
          </cell>
          <cell r="C26" t="str">
            <v>Lima + Callao</v>
          </cell>
          <cell r="D26">
            <v>40123</v>
          </cell>
          <cell r="E26">
            <v>40123</v>
          </cell>
          <cell r="F26">
            <v>40513</v>
          </cell>
          <cell r="G26" t="str">
            <v>Colonial - PVH</v>
          </cell>
          <cell r="H26" t="str">
            <v>B2</v>
          </cell>
          <cell r="I26" t="str">
            <v>VIK ENCISO</v>
          </cell>
          <cell r="J26" t="str">
            <v>Sebastián Santangelo</v>
          </cell>
          <cell r="K26" t="str">
            <v>VERONICA VALDEZ</v>
          </cell>
          <cell r="L26" t="str">
            <v>01</v>
          </cell>
          <cell r="M26">
            <v>2854</v>
          </cell>
          <cell r="N26" t="str">
            <v>Lima Metrop Norte</v>
          </cell>
          <cell r="O26" t="str">
            <v>BC2</v>
          </cell>
          <cell r="P26" t="str">
            <v>Callao</v>
          </cell>
          <cell r="Q26" t="str">
            <v>Callao</v>
          </cell>
          <cell r="R26" t="str">
            <v>COLONIAL</v>
          </cell>
        </row>
        <row r="27">
          <cell r="A27" t="str">
            <v>P112</v>
          </cell>
          <cell r="B27" t="str">
            <v>PLAZA VEA</v>
          </cell>
          <cell r="C27" t="str">
            <v>Lima + Callao</v>
          </cell>
          <cell r="D27">
            <v>39547</v>
          </cell>
          <cell r="E27">
            <v>39547</v>
          </cell>
          <cell r="F27">
            <v>39934</v>
          </cell>
          <cell r="G27" t="str">
            <v>Ceres - PVH</v>
          </cell>
          <cell r="H27" t="str">
            <v>C2</v>
          </cell>
          <cell r="I27" t="str">
            <v>RODOLFO OLIVRY</v>
          </cell>
          <cell r="J27" t="str">
            <v>Sebastián Santangelo</v>
          </cell>
          <cell r="K27" t="str">
            <v>VERONICA VALDEZ</v>
          </cell>
          <cell r="L27" t="str">
            <v>01</v>
          </cell>
          <cell r="M27">
            <v>2638</v>
          </cell>
          <cell r="N27" t="str">
            <v>Lima Oriente</v>
          </cell>
          <cell r="O27" t="str">
            <v>BC2</v>
          </cell>
          <cell r="P27" t="str">
            <v>Lima</v>
          </cell>
          <cell r="Q27" t="str">
            <v>Lima</v>
          </cell>
          <cell r="R27" t="str">
            <v>CERES</v>
          </cell>
        </row>
        <row r="28">
          <cell r="A28" t="str">
            <v>P229</v>
          </cell>
          <cell r="B28" t="str">
            <v>PLAZA VEA</v>
          </cell>
          <cell r="C28" t="str">
            <v>Lima + Callao</v>
          </cell>
          <cell r="E28">
            <v>41782</v>
          </cell>
          <cell r="F28">
            <v>42156</v>
          </cell>
          <cell r="G28" t="str">
            <v>Salaverry - PVH</v>
          </cell>
          <cell r="H28" t="str">
            <v>A3</v>
          </cell>
          <cell r="I28" t="str">
            <v>JOHANNA VILCA</v>
          </cell>
          <cell r="J28" t="str">
            <v>Sebastián Santangelo</v>
          </cell>
          <cell r="K28" t="str">
            <v>VERONICA VALDEZ</v>
          </cell>
          <cell r="L28" t="str">
            <v>02</v>
          </cell>
          <cell r="M28">
            <v>3484</v>
          </cell>
          <cell r="N28" t="str">
            <v>Lima Metrop Norte</v>
          </cell>
          <cell r="O28" t="str">
            <v>BC3</v>
          </cell>
          <cell r="P28" t="str">
            <v>Lima</v>
          </cell>
          <cell r="Q28" t="str">
            <v>Lima</v>
          </cell>
          <cell r="R28" t="str">
            <v>SALAVERRY</v>
          </cell>
        </row>
        <row r="29">
          <cell r="A29" t="str">
            <v>P066</v>
          </cell>
          <cell r="B29" t="str">
            <v>PLAZA VEA</v>
          </cell>
          <cell r="C29" t="str">
            <v>Lima + Callao</v>
          </cell>
          <cell r="D29">
            <v>37760</v>
          </cell>
          <cell r="E29">
            <v>37760</v>
          </cell>
          <cell r="F29">
            <v>38139</v>
          </cell>
          <cell r="G29" t="str">
            <v>Ate - PVH</v>
          </cell>
          <cell r="H29" t="str">
            <v>B3</v>
          </cell>
          <cell r="I29" t="str">
            <v>RODOLFO OLIVRY</v>
          </cell>
          <cell r="J29" t="str">
            <v>Sebastián Santangelo</v>
          </cell>
          <cell r="K29" t="str">
            <v>VERONICA VALDEZ</v>
          </cell>
          <cell r="L29" t="str">
            <v>01</v>
          </cell>
          <cell r="M29">
            <v>4798</v>
          </cell>
          <cell r="N29" t="str">
            <v>Lima Oriente</v>
          </cell>
          <cell r="O29" t="str">
            <v>BC3</v>
          </cell>
          <cell r="P29" t="str">
            <v>Lima</v>
          </cell>
          <cell r="Q29" t="str">
            <v>Lima</v>
          </cell>
          <cell r="R29" t="str">
            <v>ATE</v>
          </cell>
        </row>
        <row r="30">
          <cell r="A30" t="str">
            <v>P723</v>
          </cell>
          <cell r="B30" t="str">
            <v>PLAZA VEA</v>
          </cell>
          <cell r="C30" t="str">
            <v>Lima + Callao</v>
          </cell>
          <cell r="D30">
            <v>43782</v>
          </cell>
          <cell r="E30">
            <v>43782</v>
          </cell>
          <cell r="F30">
            <v>44166</v>
          </cell>
          <cell r="G30" t="str">
            <v>Puruchuco - PVH</v>
          </cell>
          <cell r="H30" t="str">
            <v>B3</v>
          </cell>
          <cell r="I30" t="str">
            <v>RODOLFO OLIVRY</v>
          </cell>
          <cell r="J30" t="str">
            <v>Sebastián Santangelo</v>
          </cell>
          <cell r="K30" t="str">
            <v>VERONICA VALDEZ</v>
          </cell>
          <cell r="M30">
            <v>7079</v>
          </cell>
          <cell r="N30" t="str">
            <v>Lima Oriente</v>
          </cell>
          <cell r="O30" t="str">
            <v>BC3</v>
          </cell>
          <cell r="P30" t="str">
            <v>Lima</v>
          </cell>
          <cell r="Q30" t="str">
            <v>Lima</v>
          </cell>
          <cell r="R30" t="str">
            <v>PURUCHUCO</v>
          </cell>
        </row>
        <row r="31">
          <cell r="A31" t="str">
            <v>P117</v>
          </cell>
          <cell r="B31" t="str">
            <v>PLAZA VEA</v>
          </cell>
          <cell r="C31" t="str">
            <v>Lima + Callao</v>
          </cell>
          <cell r="D31">
            <v>39701</v>
          </cell>
          <cell r="E31">
            <v>39701</v>
          </cell>
          <cell r="F31">
            <v>40087</v>
          </cell>
          <cell r="G31" t="str">
            <v>Izaguirre - PVH</v>
          </cell>
          <cell r="H31" t="str">
            <v>C3</v>
          </cell>
          <cell r="I31" t="str">
            <v>VIK ENCISO</v>
          </cell>
          <cell r="J31" t="str">
            <v>Sebastián Santangelo</v>
          </cell>
          <cell r="K31" t="str">
            <v>VERONICA VALDEZ</v>
          </cell>
          <cell r="L31" t="str">
            <v>01</v>
          </cell>
          <cell r="M31">
            <v>6916</v>
          </cell>
          <cell r="N31" t="str">
            <v>Lima Cono Norte</v>
          </cell>
          <cell r="O31" t="str">
            <v>BC3</v>
          </cell>
          <cell r="P31" t="str">
            <v>Lima</v>
          </cell>
          <cell r="Q31" t="str">
            <v>Lima</v>
          </cell>
          <cell r="R31" t="str">
            <v>IZAGUIRRE</v>
          </cell>
        </row>
        <row r="32">
          <cell r="A32" t="str">
            <v>P202</v>
          </cell>
          <cell r="B32" t="str">
            <v>PLAZA VEA</v>
          </cell>
          <cell r="C32" t="str">
            <v>Lima + Callao</v>
          </cell>
          <cell r="D32">
            <v>40817</v>
          </cell>
          <cell r="E32">
            <v>40817</v>
          </cell>
          <cell r="F32">
            <v>41183</v>
          </cell>
          <cell r="G32" t="str">
            <v>LurIn - PVH</v>
          </cell>
          <cell r="H32" t="str">
            <v>B3</v>
          </cell>
          <cell r="I32" t="str">
            <v>RODOLFO OLIVRY</v>
          </cell>
          <cell r="J32" t="str">
            <v>Sebastián Santangelo</v>
          </cell>
          <cell r="K32" t="str">
            <v>VERONICA VALDEZ</v>
          </cell>
          <cell r="L32" t="str">
            <v>01</v>
          </cell>
          <cell r="M32">
            <v>3660</v>
          </cell>
          <cell r="N32" t="str">
            <v>Lima Cono Sur</v>
          </cell>
          <cell r="O32" t="str">
            <v>BC3</v>
          </cell>
          <cell r="P32" t="str">
            <v>Lima</v>
          </cell>
          <cell r="Q32" t="str">
            <v>Lima</v>
          </cell>
          <cell r="R32" t="str">
            <v>LURIN</v>
          </cell>
        </row>
        <row r="33">
          <cell r="A33" t="str">
            <v>P465</v>
          </cell>
          <cell r="B33" t="str">
            <v>PLAZA VEA</v>
          </cell>
          <cell r="C33" t="str">
            <v>Lima + Callao</v>
          </cell>
          <cell r="D33">
            <v>43231</v>
          </cell>
          <cell r="E33">
            <v>43231</v>
          </cell>
          <cell r="F33">
            <v>43617</v>
          </cell>
          <cell r="G33" t="str">
            <v>Sucre - PVH</v>
          </cell>
          <cell r="H33" t="str">
            <v>B3</v>
          </cell>
          <cell r="I33" t="str">
            <v>VIK ENCISO</v>
          </cell>
          <cell r="J33" t="str">
            <v>Sebastián Santangelo</v>
          </cell>
          <cell r="K33" t="str">
            <v>VERONICA VALDEZ</v>
          </cell>
          <cell r="M33">
            <v>3694</v>
          </cell>
          <cell r="N33" t="str">
            <v>Lima Metrop Norte</v>
          </cell>
          <cell r="O33" t="str">
            <v>BC3</v>
          </cell>
          <cell r="P33" t="str">
            <v>Lima</v>
          </cell>
          <cell r="Q33" t="str">
            <v>Lima</v>
          </cell>
          <cell r="R33" t="str">
            <v>SUCRE</v>
          </cell>
        </row>
        <row r="34">
          <cell r="A34" t="str">
            <v>P195</v>
          </cell>
          <cell r="B34" t="str">
            <v>PLAZA VEA</v>
          </cell>
          <cell r="C34" t="str">
            <v>Lima + Callao</v>
          </cell>
          <cell r="D34">
            <v>41257</v>
          </cell>
          <cell r="E34">
            <v>41257</v>
          </cell>
          <cell r="F34">
            <v>41640</v>
          </cell>
          <cell r="G34" t="str">
            <v>San Borja - PVH</v>
          </cell>
          <cell r="H34" t="str">
            <v>A3</v>
          </cell>
          <cell r="I34" t="str">
            <v>JOHANNA VILCA</v>
          </cell>
          <cell r="J34" t="str">
            <v>Sebastián Santangelo</v>
          </cell>
          <cell r="K34" t="str">
            <v>VERONICA VALDEZ</v>
          </cell>
          <cell r="L34" t="str">
            <v>01</v>
          </cell>
          <cell r="M34">
            <v>4661</v>
          </cell>
          <cell r="N34" t="str">
            <v>Lima Metrop Sur</v>
          </cell>
          <cell r="O34" t="str">
            <v>A3</v>
          </cell>
          <cell r="P34" t="str">
            <v>Lima</v>
          </cell>
          <cell r="Q34" t="str">
            <v>Lima</v>
          </cell>
          <cell r="R34" t="str">
            <v>SAN BORJA</v>
          </cell>
        </row>
        <row r="35">
          <cell r="A35" t="str">
            <v>P125</v>
          </cell>
          <cell r="B35" t="str">
            <v>PLAZA VEA</v>
          </cell>
          <cell r="C35" t="str">
            <v>Lima + Callao</v>
          </cell>
          <cell r="D35">
            <v>39940</v>
          </cell>
          <cell r="E35">
            <v>39940</v>
          </cell>
          <cell r="F35">
            <v>40330</v>
          </cell>
          <cell r="G35" t="str">
            <v>SJ Lurigancho - PVH</v>
          </cell>
          <cell r="H35" t="str">
            <v>C3</v>
          </cell>
          <cell r="I35" t="str">
            <v>RODOLFO OLIVRY</v>
          </cell>
          <cell r="J35" t="str">
            <v>Sebastián Santangelo</v>
          </cell>
          <cell r="K35" t="str">
            <v>VERONICA VALDEZ</v>
          </cell>
          <cell r="L35" t="str">
            <v>01</v>
          </cell>
          <cell r="M35">
            <v>4892</v>
          </cell>
          <cell r="N35" t="str">
            <v>Lima Oriente</v>
          </cell>
          <cell r="O35" t="str">
            <v>BC3</v>
          </cell>
          <cell r="P35" t="str">
            <v>Lima</v>
          </cell>
          <cell r="Q35" t="str">
            <v>Lima</v>
          </cell>
          <cell r="R35" t="str">
            <v>SJ LURIGANCHO</v>
          </cell>
        </row>
        <row r="36">
          <cell r="A36">
            <v>1593</v>
          </cell>
          <cell r="B36" t="str">
            <v>PLAZA VEA</v>
          </cell>
          <cell r="C36" t="str">
            <v>Lima + Callao</v>
          </cell>
          <cell r="D36">
            <v>45245</v>
          </cell>
          <cell r="G36" t="str">
            <v>SJL Aventura - PVH</v>
          </cell>
          <cell r="H36" t="str">
            <v>C3</v>
          </cell>
          <cell r="I36" t="str">
            <v>RODOLFO OLIVRY</v>
          </cell>
          <cell r="J36" t="str">
            <v>Sebastián Santangelo</v>
          </cell>
          <cell r="K36" t="str">
            <v>VERONICA VALDEZ</v>
          </cell>
          <cell r="M36">
            <v>4136</v>
          </cell>
          <cell r="N36" t="str">
            <v>Lima Oriente</v>
          </cell>
          <cell r="O36" t="str">
            <v>BC3</v>
          </cell>
          <cell r="P36" t="str">
            <v>Lima</v>
          </cell>
          <cell r="Q36" t="str">
            <v>Lima</v>
          </cell>
          <cell r="R36" t="str">
            <v>SJL AVENTURA</v>
          </cell>
        </row>
        <row r="37">
          <cell r="A37" t="str">
            <v>P203</v>
          </cell>
          <cell r="B37" t="str">
            <v>PLAZA VEA</v>
          </cell>
          <cell r="C37" t="str">
            <v>Lima + Callao</v>
          </cell>
          <cell r="D37">
            <v>41265</v>
          </cell>
          <cell r="E37">
            <v>41265</v>
          </cell>
          <cell r="F37">
            <v>41640</v>
          </cell>
          <cell r="G37" t="str">
            <v>Rimac Alcazar - PVH</v>
          </cell>
          <cell r="H37" t="str">
            <v>B2</v>
          </cell>
          <cell r="I37" t="str">
            <v>VIK ENCISO</v>
          </cell>
          <cell r="J37" t="str">
            <v>Sebastián Santangelo</v>
          </cell>
          <cell r="K37" t="str">
            <v>VERONICA VALDEZ</v>
          </cell>
          <cell r="L37" t="str">
            <v>01</v>
          </cell>
          <cell r="M37">
            <v>1935</v>
          </cell>
          <cell r="N37" t="str">
            <v>LIMA CENTRO</v>
          </cell>
          <cell r="O37" t="str">
            <v>BC2</v>
          </cell>
          <cell r="P37" t="str">
            <v>Lima</v>
          </cell>
          <cell r="Q37" t="str">
            <v>Lima</v>
          </cell>
          <cell r="R37" t="str">
            <v>RIMAC ALCAZAR</v>
          </cell>
        </row>
        <row r="38">
          <cell r="A38" t="str">
            <v>P052</v>
          </cell>
          <cell r="B38" t="str">
            <v>PLAZA VEA</v>
          </cell>
          <cell r="C38" t="str">
            <v>Lima + Callao</v>
          </cell>
          <cell r="D38">
            <v>37460</v>
          </cell>
          <cell r="E38">
            <v>37460</v>
          </cell>
          <cell r="F38">
            <v>37834</v>
          </cell>
          <cell r="G38" t="str">
            <v>Brasil - PVH</v>
          </cell>
          <cell r="H38" t="str">
            <v>B2</v>
          </cell>
          <cell r="I38" t="str">
            <v>VIK ENCISO</v>
          </cell>
          <cell r="J38" t="str">
            <v>Sebastián Santangelo</v>
          </cell>
          <cell r="K38" t="str">
            <v>VERONICA VALDEZ</v>
          </cell>
          <cell r="L38" t="str">
            <v>01</v>
          </cell>
          <cell r="M38">
            <v>2301</v>
          </cell>
          <cell r="N38" t="str">
            <v>Lima Metrop Norte</v>
          </cell>
          <cell r="O38" t="str">
            <v>BC2</v>
          </cell>
          <cell r="P38" t="str">
            <v>Lima</v>
          </cell>
          <cell r="Q38" t="str">
            <v>Lima</v>
          </cell>
          <cell r="R38" t="str">
            <v>BRASIL</v>
          </cell>
        </row>
        <row r="39">
          <cell r="A39" t="str">
            <v>P224</v>
          </cell>
          <cell r="B39" t="str">
            <v>PLAZA VEA</v>
          </cell>
          <cell r="C39" t="str">
            <v>Lima + Callao</v>
          </cell>
          <cell r="E39">
            <v>41621</v>
          </cell>
          <cell r="F39">
            <v>42005</v>
          </cell>
          <cell r="G39" t="str">
            <v>Brena - PVH</v>
          </cell>
          <cell r="H39" t="str">
            <v>B3</v>
          </cell>
          <cell r="I39" t="str">
            <v>VIK ENCISO</v>
          </cell>
          <cell r="J39" t="str">
            <v>Sebastián Santangelo</v>
          </cell>
          <cell r="K39" t="str">
            <v>VERONICA VALDEZ</v>
          </cell>
          <cell r="L39" t="str">
            <v>02</v>
          </cell>
          <cell r="M39">
            <v>3853</v>
          </cell>
          <cell r="N39" t="str">
            <v>Lima Centro</v>
          </cell>
          <cell r="O39" t="str">
            <v>BC3</v>
          </cell>
          <cell r="P39" t="str">
            <v>Lima</v>
          </cell>
          <cell r="Q39" t="str">
            <v>Lima</v>
          </cell>
          <cell r="R39" t="str">
            <v>BRENA</v>
          </cell>
        </row>
        <row r="40">
          <cell r="A40" t="str">
            <v>P227</v>
          </cell>
          <cell r="B40" t="str">
            <v>PLAZA VEA</v>
          </cell>
          <cell r="C40" t="str">
            <v>Lima + Callao</v>
          </cell>
          <cell r="E40">
            <v>41817</v>
          </cell>
          <cell r="F40">
            <v>42186</v>
          </cell>
          <cell r="G40" t="str">
            <v>San Isidro - PVH</v>
          </cell>
          <cell r="H40" t="str">
            <v>A3</v>
          </cell>
          <cell r="I40" t="str">
            <v>JOHANNA VILCA</v>
          </cell>
          <cell r="J40" t="str">
            <v>Sebastián Santangelo</v>
          </cell>
          <cell r="K40" t="str">
            <v>VERONICA VALDEZ</v>
          </cell>
          <cell r="L40" t="str">
            <v>02</v>
          </cell>
          <cell r="M40">
            <v>4216</v>
          </cell>
          <cell r="N40" t="str">
            <v>Lima Metrop Sur</v>
          </cell>
          <cell r="O40" t="str">
            <v>A3</v>
          </cell>
          <cell r="P40" t="str">
            <v>Lima</v>
          </cell>
          <cell r="Q40" t="str">
            <v>Lima</v>
          </cell>
          <cell r="R40" t="str">
            <v>SAN ISIDRO</v>
          </cell>
        </row>
        <row r="41">
          <cell r="A41" t="str">
            <v>P064</v>
          </cell>
          <cell r="B41" t="str">
            <v>PLAZA VEA</v>
          </cell>
          <cell r="C41" t="str">
            <v>Lima + Callao</v>
          </cell>
          <cell r="D41">
            <v>37755</v>
          </cell>
          <cell r="E41">
            <v>37755</v>
          </cell>
          <cell r="F41">
            <v>38139</v>
          </cell>
          <cell r="G41" t="str">
            <v>Miraflores - PVH</v>
          </cell>
          <cell r="H41" t="str">
            <v>A3</v>
          </cell>
          <cell r="I41" t="str">
            <v>JOHANNA VILCA</v>
          </cell>
          <cell r="J41" t="str">
            <v>Sebastián Santangelo</v>
          </cell>
          <cell r="K41" t="str">
            <v>VERONICA VALDEZ</v>
          </cell>
          <cell r="L41" t="str">
            <v>01</v>
          </cell>
          <cell r="M41">
            <v>4439</v>
          </cell>
          <cell r="N41" t="str">
            <v>Lima Metrop Sur</v>
          </cell>
          <cell r="O41" t="str">
            <v>A3</v>
          </cell>
          <cell r="P41" t="str">
            <v>Lima</v>
          </cell>
          <cell r="Q41" t="str">
            <v>Lima</v>
          </cell>
          <cell r="R41" t="str">
            <v>MIRAFLORES</v>
          </cell>
        </row>
        <row r="42">
          <cell r="A42" t="str">
            <v>P059</v>
          </cell>
          <cell r="B42" t="str">
            <v>PLAZA VEA</v>
          </cell>
          <cell r="C42" t="str">
            <v>Lima + Callao</v>
          </cell>
          <cell r="D42">
            <v>37593</v>
          </cell>
          <cell r="E42">
            <v>37593</v>
          </cell>
          <cell r="F42">
            <v>37987</v>
          </cell>
          <cell r="G42" t="str">
            <v>Callao - PVH</v>
          </cell>
          <cell r="H42" t="str">
            <v>C3</v>
          </cell>
          <cell r="I42" t="str">
            <v>VIK ENCISO</v>
          </cell>
          <cell r="J42" t="str">
            <v>Sebastián Santangelo</v>
          </cell>
          <cell r="K42" t="str">
            <v>VERONICA VALDEZ</v>
          </cell>
          <cell r="L42" t="str">
            <v>01</v>
          </cell>
          <cell r="M42">
            <v>4398</v>
          </cell>
          <cell r="N42" t="str">
            <v>Lima Metrop Norte</v>
          </cell>
          <cell r="O42" t="str">
            <v>BC3</v>
          </cell>
          <cell r="P42" t="str">
            <v>Callao</v>
          </cell>
          <cell r="Q42" t="str">
            <v>Callao</v>
          </cell>
          <cell r="R42" t="str">
            <v>CALLAO</v>
          </cell>
        </row>
        <row r="43">
          <cell r="A43" t="str">
            <v>P114</v>
          </cell>
          <cell r="B43" t="str">
            <v>PLAZA VEA</v>
          </cell>
          <cell r="C43" t="str">
            <v>Lima + Callao</v>
          </cell>
          <cell r="D43">
            <v>39568</v>
          </cell>
          <cell r="E43">
            <v>39568</v>
          </cell>
          <cell r="F43">
            <v>39934</v>
          </cell>
          <cell r="G43" t="str">
            <v>Pro - PVH</v>
          </cell>
          <cell r="H43" t="str">
            <v>C3</v>
          </cell>
          <cell r="I43" t="str">
            <v>VIK ENCISO</v>
          </cell>
          <cell r="J43" t="str">
            <v>Sebastián Santangelo</v>
          </cell>
          <cell r="K43" t="str">
            <v>VERONICA VALDEZ</v>
          </cell>
          <cell r="L43" t="str">
            <v>01</v>
          </cell>
          <cell r="M43">
            <v>5216</v>
          </cell>
          <cell r="N43" t="str">
            <v>Lima Cono Norte</v>
          </cell>
          <cell r="O43" t="str">
            <v>BC3</v>
          </cell>
          <cell r="P43" t="str">
            <v>Lima</v>
          </cell>
          <cell r="Q43" t="str">
            <v>Lima</v>
          </cell>
          <cell r="R43" t="str">
            <v>PRO</v>
          </cell>
        </row>
        <row r="44">
          <cell r="A44" t="str">
            <v>P048</v>
          </cell>
          <cell r="B44" t="str">
            <v>PLAZA VEA</v>
          </cell>
          <cell r="C44" t="str">
            <v>Lima + Callao</v>
          </cell>
          <cell r="D44">
            <v>37314</v>
          </cell>
          <cell r="E44">
            <v>37314</v>
          </cell>
          <cell r="F44">
            <v>37681</v>
          </cell>
          <cell r="G44" t="str">
            <v>Higuereta - PVH</v>
          </cell>
          <cell r="H44" t="str">
            <v>A3</v>
          </cell>
          <cell r="I44" t="str">
            <v>JOHANNA VILCA</v>
          </cell>
          <cell r="J44" t="str">
            <v>Sebastián Santangelo</v>
          </cell>
          <cell r="K44" t="str">
            <v>VERONICA VALDEZ</v>
          </cell>
          <cell r="L44" t="str">
            <v>01</v>
          </cell>
          <cell r="M44">
            <v>4577</v>
          </cell>
          <cell r="N44" t="str">
            <v>Lima Metrop Oriente</v>
          </cell>
          <cell r="O44" t="str">
            <v>BC3</v>
          </cell>
          <cell r="P44" t="str">
            <v>Lima</v>
          </cell>
          <cell r="Q44" t="str">
            <v>Lima</v>
          </cell>
          <cell r="R44" t="str">
            <v>HIGUERETA</v>
          </cell>
        </row>
        <row r="45">
          <cell r="A45" t="str">
            <v>P118</v>
          </cell>
          <cell r="B45" t="str">
            <v>PLAZA VEA</v>
          </cell>
          <cell r="C45" t="str">
            <v>Lima + Callao</v>
          </cell>
          <cell r="D45">
            <v>39722</v>
          </cell>
          <cell r="E45">
            <v>39722</v>
          </cell>
          <cell r="F45">
            <v>40087</v>
          </cell>
          <cell r="G45" t="str">
            <v>Alfonso Ugarte - PVH</v>
          </cell>
          <cell r="H45" t="str">
            <v>C3</v>
          </cell>
          <cell r="I45" t="str">
            <v>VIK ENCISO</v>
          </cell>
          <cell r="J45" t="str">
            <v>Sebastián Santangelo</v>
          </cell>
          <cell r="K45" t="str">
            <v>VERONICA VALDEZ</v>
          </cell>
          <cell r="L45" t="str">
            <v>01</v>
          </cell>
          <cell r="M45">
            <v>4358</v>
          </cell>
          <cell r="N45" t="str">
            <v>Lima Centro</v>
          </cell>
          <cell r="O45" t="str">
            <v>BC3</v>
          </cell>
          <cell r="P45" t="str">
            <v>Lima</v>
          </cell>
          <cell r="Q45" t="str">
            <v>Lima</v>
          </cell>
          <cell r="R45" t="str">
            <v>ALFONSO UGARTE</v>
          </cell>
        </row>
        <row r="46">
          <cell r="A46" t="str">
            <v>P231</v>
          </cell>
          <cell r="B46" t="str">
            <v>PLAZA VEA</v>
          </cell>
          <cell r="C46" t="str">
            <v>Lima + Callao</v>
          </cell>
          <cell r="E46">
            <v>41872</v>
          </cell>
          <cell r="F46">
            <v>42248</v>
          </cell>
          <cell r="G46" t="str">
            <v>Ventanilla - PVH</v>
          </cell>
          <cell r="H46" t="str">
            <v>C3</v>
          </cell>
          <cell r="I46" t="str">
            <v>VIK ENCISO</v>
          </cell>
          <cell r="J46" t="str">
            <v>Sebastián Santangelo</v>
          </cell>
          <cell r="K46" t="str">
            <v>VERONICA VALDEZ</v>
          </cell>
          <cell r="L46" t="str">
            <v>1</v>
          </cell>
          <cell r="M46">
            <v>3528</v>
          </cell>
          <cell r="N46" t="str">
            <v>Lima Cono Norte</v>
          </cell>
          <cell r="O46" t="str">
            <v>BC3</v>
          </cell>
          <cell r="P46" t="str">
            <v>Callao</v>
          </cell>
          <cell r="Q46" t="str">
            <v>Callao</v>
          </cell>
          <cell r="R46" t="str">
            <v>VENTANILLA</v>
          </cell>
        </row>
        <row r="47">
          <cell r="A47" t="str">
            <v>P119</v>
          </cell>
          <cell r="B47" t="str">
            <v>PLAZA VEA</v>
          </cell>
          <cell r="C47" t="str">
            <v>Lima + Callao</v>
          </cell>
          <cell r="D47">
            <v>39722</v>
          </cell>
          <cell r="E47">
            <v>39722</v>
          </cell>
          <cell r="F47">
            <v>40087</v>
          </cell>
          <cell r="G47" t="str">
            <v>Puente Piedra - PVH</v>
          </cell>
          <cell r="H47" t="str">
            <v>C3</v>
          </cell>
          <cell r="I47" t="str">
            <v>VIK ENCISO</v>
          </cell>
          <cell r="J47" t="str">
            <v>Sebastián Santangelo</v>
          </cell>
          <cell r="K47" t="str">
            <v>VERONICA VALDEZ</v>
          </cell>
          <cell r="L47" t="str">
            <v>01</v>
          </cell>
          <cell r="M47">
            <v>3863</v>
          </cell>
          <cell r="N47" t="str">
            <v>Lima Cono Norte</v>
          </cell>
          <cell r="O47" t="str">
            <v>BC3</v>
          </cell>
          <cell r="P47" t="str">
            <v>Lima</v>
          </cell>
          <cell r="Q47" t="str">
            <v>Lima</v>
          </cell>
          <cell r="R47" t="str">
            <v>PUENTE PIEDRA</v>
          </cell>
        </row>
        <row r="48">
          <cell r="A48" t="str">
            <v>P261</v>
          </cell>
          <cell r="B48" t="str">
            <v>PLAZA VEA</v>
          </cell>
          <cell r="C48" t="str">
            <v>Lima + Callao</v>
          </cell>
          <cell r="D48">
            <v>42342</v>
          </cell>
          <cell r="E48">
            <v>42342</v>
          </cell>
          <cell r="F48">
            <v>42736</v>
          </cell>
          <cell r="G48" t="str">
            <v>El Agustino - PVH</v>
          </cell>
          <cell r="H48" t="str">
            <v>C2</v>
          </cell>
          <cell r="I48" t="str">
            <v>RODOLFO OLIVRY</v>
          </cell>
          <cell r="J48" t="str">
            <v>Sebastián Santangelo</v>
          </cell>
          <cell r="K48" t="str">
            <v>VERONICA VALDEZ</v>
          </cell>
          <cell r="L48" t="str">
            <v>02</v>
          </cell>
          <cell r="M48">
            <v>2409</v>
          </cell>
          <cell r="N48" t="str">
            <v>Lima Oriente</v>
          </cell>
          <cell r="O48" t="str">
            <v>BC2</v>
          </cell>
          <cell r="P48" t="str">
            <v>Lima</v>
          </cell>
          <cell r="Q48" t="str">
            <v>Lima</v>
          </cell>
          <cell r="R48" t="str">
            <v>EL AGUSTINO</v>
          </cell>
        </row>
        <row r="49">
          <cell r="A49" t="str">
            <v>P141</v>
          </cell>
          <cell r="B49" t="str">
            <v>PLAZA VEA</v>
          </cell>
          <cell r="C49" t="str">
            <v>Lima + Callao</v>
          </cell>
          <cell r="D49">
            <v>40340</v>
          </cell>
          <cell r="E49">
            <v>40340</v>
          </cell>
          <cell r="F49">
            <v>40725</v>
          </cell>
          <cell r="G49" t="str">
            <v>Chosica - PVH</v>
          </cell>
          <cell r="H49" t="str">
            <v>C2</v>
          </cell>
          <cell r="I49" t="str">
            <v>RODOLFO OLIVRY</v>
          </cell>
          <cell r="J49" t="str">
            <v>Sebastián Santangelo</v>
          </cell>
          <cell r="K49" t="str">
            <v>VERONICA VALDEZ</v>
          </cell>
          <cell r="L49" t="str">
            <v>01</v>
          </cell>
          <cell r="M49">
            <v>2577</v>
          </cell>
          <cell r="N49" t="str">
            <v>Lima Oriente</v>
          </cell>
          <cell r="O49" t="str">
            <v>BC2</v>
          </cell>
          <cell r="P49" t="str">
            <v>Lima</v>
          </cell>
          <cell r="Q49" t="str">
            <v>Lima</v>
          </cell>
          <cell r="R49" t="str">
            <v>CHOSICA</v>
          </cell>
        </row>
        <row r="50">
          <cell r="A50" t="str">
            <v>P089</v>
          </cell>
          <cell r="B50" t="str">
            <v>PLAZA VEA</v>
          </cell>
          <cell r="C50" t="str">
            <v>Lima + Callao</v>
          </cell>
          <cell r="D50">
            <v>38567</v>
          </cell>
          <cell r="E50">
            <v>38567</v>
          </cell>
          <cell r="F50">
            <v>38961</v>
          </cell>
          <cell r="G50" t="str">
            <v>Risso - PVH</v>
          </cell>
          <cell r="H50" t="str">
            <v>B2</v>
          </cell>
          <cell r="I50" t="str">
            <v>VIK ENCISO</v>
          </cell>
          <cell r="J50" t="str">
            <v>Sebastián Santangelo</v>
          </cell>
          <cell r="K50" t="str">
            <v>VERONICA VALDEZ</v>
          </cell>
          <cell r="L50" t="str">
            <v>01</v>
          </cell>
          <cell r="M50">
            <v>2511</v>
          </cell>
          <cell r="N50" t="str">
            <v>Lima Metrop Norte</v>
          </cell>
          <cell r="O50" t="str">
            <v>BC2</v>
          </cell>
          <cell r="P50" t="str">
            <v>Lima</v>
          </cell>
          <cell r="Q50" t="str">
            <v>Lima</v>
          </cell>
          <cell r="R50" t="str">
            <v>RISSO</v>
          </cell>
        </row>
        <row r="51">
          <cell r="A51" t="str">
            <v>P134</v>
          </cell>
          <cell r="B51" t="str">
            <v>PLAZA VEA</v>
          </cell>
          <cell r="C51" t="str">
            <v>Lima + Callao</v>
          </cell>
          <cell r="D51">
            <v>40155</v>
          </cell>
          <cell r="E51">
            <v>40155</v>
          </cell>
          <cell r="F51">
            <v>40544</v>
          </cell>
          <cell r="G51" t="str">
            <v>Centro Civico - PVH</v>
          </cell>
          <cell r="H51" t="str">
            <v>B2</v>
          </cell>
          <cell r="I51" t="str">
            <v>VIK ENCISO</v>
          </cell>
          <cell r="J51" t="str">
            <v>Sebastián Santangelo</v>
          </cell>
          <cell r="K51" t="str">
            <v>VERONICA VALDEZ</v>
          </cell>
          <cell r="L51" t="str">
            <v>01</v>
          </cell>
          <cell r="M51">
            <v>3624</v>
          </cell>
          <cell r="N51" t="str">
            <v>Lima Centro</v>
          </cell>
          <cell r="O51" t="str">
            <v>BC2</v>
          </cell>
          <cell r="P51" t="str">
            <v>Lima</v>
          </cell>
          <cell r="Q51" t="str">
            <v>Lima</v>
          </cell>
          <cell r="R51" t="str">
            <v>CENTRO CIVICO</v>
          </cell>
        </row>
        <row r="52">
          <cell r="A52" t="str">
            <v>P238</v>
          </cell>
          <cell r="B52" t="str">
            <v>PLAZA VEA</v>
          </cell>
          <cell r="C52" t="str">
            <v>Lima + Callao</v>
          </cell>
          <cell r="E52">
            <v>42094</v>
          </cell>
          <cell r="F52">
            <v>42461</v>
          </cell>
          <cell r="G52" t="str">
            <v>Grifo Mexico - PVH</v>
          </cell>
          <cell r="H52" t="str">
            <v>C2</v>
          </cell>
          <cell r="I52" t="str">
            <v>RODOLFO OLIVRY</v>
          </cell>
          <cell r="J52" t="str">
            <v>Sebastián Santangelo</v>
          </cell>
          <cell r="K52" t="str">
            <v>VERONICA VALDEZ</v>
          </cell>
          <cell r="L52" t="str">
            <v>1</v>
          </cell>
          <cell r="M52">
            <v>2800</v>
          </cell>
          <cell r="N52" t="str">
            <v>Lima Oriente</v>
          </cell>
          <cell r="O52" t="str">
            <v>BC2</v>
          </cell>
          <cell r="P52" t="str">
            <v>Lima</v>
          </cell>
          <cell r="Q52" t="str">
            <v>Lima</v>
          </cell>
          <cell r="R52" t="str">
            <v>GRIFO MEXICO</v>
          </cell>
        </row>
        <row r="53">
          <cell r="A53" t="str">
            <v>P126</v>
          </cell>
          <cell r="B53" t="str">
            <v>PLAZA VEA</v>
          </cell>
          <cell r="C53" t="str">
            <v>Lima + Callao</v>
          </cell>
          <cell r="D53">
            <v>39933</v>
          </cell>
          <cell r="E53">
            <v>39933</v>
          </cell>
          <cell r="F53">
            <v>40299</v>
          </cell>
          <cell r="G53" t="str">
            <v>Santa Clara - PVH</v>
          </cell>
          <cell r="H53" t="str">
            <v>C3</v>
          </cell>
          <cell r="I53" t="str">
            <v>RODOLFO OLIVRY</v>
          </cell>
          <cell r="J53" t="str">
            <v>Sebastián Santangelo</v>
          </cell>
          <cell r="K53" t="str">
            <v>VERONICA VALDEZ</v>
          </cell>
          <cell r="L53" t="str">
            <v>01</v>
          </cell>
          <cell r="M53">
            <v>5030</v>
          </cell>
          <cell r="N53" t="str">
            <v>Lima Oriente</v>
          </cell>
          <cell r="O53" t="str">
            <v>BC3</v>
          </cell>
          <cell r="P53" t="str">
            <v>Lima</v>
          </cell>
          <cell r="Q53" t="str">
            <v>Lima</v>
          </cell>
          <cell r="R53" t="str">
            <v>SANTA CLARA</v>
          </cell>
        </row>
        <row r="54">
          <cell r="A54" t="str">
            <v>P037</v>
          </cell>
          <cell r="B54" t="str">
            <v>PLAZA VEA</v>
          </cell>
          <cell r="C54" t="str">
            <v>Lima + Callao</v>
          </cell>
          <cell r="D54">
            <v>37167</v>
          </cell>
          <cell r="E54">
            <v>37167</v>
          </cell>
          <cell r="F54">
            <v>37561</v>
          </cell>
          <cell r="G54" t="str">
            <v>Jockey Plaza - PVH</v>
          </cell>
          <cell r="H54" t="str">
            <v>A3</v>
          </cell>
          <cell r="I54" t="str">
            <v>JOHANNA VILCA</v>
          </cell>
          <cell r="J54" t="str">
            <v>Sebastián Santangelo</v>
          </cell>
          <cell r="K54" t="str">
            <v>VERONICA VALDEZ</v>
          </cell>
          <cell r="L54" t="str">
            <v>01</v>
          </cell>
          <cell r="M54">
            <v>5675</v>
          </cell>
          <cell r="N54" t="str">
            <v>Lima Metrop Oriente</v>
          </cell>
          <cell r="O54" t="str">
            <v>BC3</v>
          </cell>
          <cell r="P54" t="str">
            <v>Lima</v>
          </cell>
          <cell r="Q54" t="str">
            <v>Lima</v>
          </cell>
          <cell r="R54" t="str">
            <v>JOCKEY PLAZA</v>
          </cell>
        </row>
        <row r="55">
          <cell r="A55" t="str">
            <v>P084</v>
          </cell>
          <cell r="B55" t="str">
            <v>PLAZA VEA</v>
          </cell>
          <cell r="C55" t="str">
            <v>Lima + Callao</v>
          </cell>
          <cell r="D55">
            <v>38971</v>
          </cell>
          <cell r="E55">
            <v>38971</v>
          </cell>
          <cell r="F55">
            <v>39356</v>
          </cell>
          <cell r="G55" t="str">
            <v>Comas - PVH</v>
          </cell>
          <cell r="H55" t="str">
            <v>C3</v>
          </cell>
          <cell r="I55" t="str">
            <v>VIK ENCISO</v>
          </cell>
          <cell r="J55" t="str">
            <v>Sebastián Santangelo</v>
          </cell>
          <cell r="K55" t="str">
            <v>VERONICA VALDEZ</v>
          </cell>
          <cell r="L55" t="str">
            <v>01</v>
          </cell>
          <cell r="M55">
            <v>4035</v>
          </cell>
          <cell r="N55" t="str">
            <v>Lima Cono Norte</v>
          </cell>
          <cell r="O55" t="str">
            <v>BC3</v>
          </cell>
          <cell r="P55" t="str">
            <v>Lima</v>
          </cell>
          <cell r="Q55" t="str">
            <v>Lima</v>
          </cell>
          <cell r="R55" t="str">
            <v>COMAS</v>
          </cell>
        </row>
        <row r="56">
          <cell r="A56" t="str">
            <v>P291</v>
          </cell>
          <cell r="B56" t="str">
            <v>PLAZA VEA</v>
          </cell>
          <cell r="C56" t="str">
            <v>Lima + Callao</v>
          </cell>
          <cell r="D56">
            <v>42711</v>
          </cell>
          <cell r="E56">
            <v>42711</v>
          </cell>
          <cell r="F56">
            <v>43101</v>
          </cell>
          <cell r="G56" t="str">
            <v>La Curva - PVH</v>
          </cell>
          <cell r="H56" t="str">
            <v>C3</v>
          </cell>
          <cell r="I56" t="str">
            <v>RODOLFO OLIVRY</v>
          </cell>
          <cell r="J56" t="str">
            <v>Sebastián Santangelo</v>
          </cell>
          <cell r="K56" t="str">
            <v>VERONICA VALDEZ</v>
          </cell>
          <cell r="M56">
            <v>4960</v>
          </cell>
          <cell r="N56" t="str">
            <v>Lima Cono Sur</v>
          </cell>
          <cell r="O56" t="str">
            <v>BC3</v>
          </cell>
          <cell r="P56" t="str">
            <v>Lima</v>
          </cell>
          <cell r="Q56" t="str">
            <v>Lima</v>
          </cell>
          <cell r="R56" t="str">
            <v>LA CURVA</v>
          </cell>
        </row>
        <row r="57">
          <cell r="A57" t="str">
            <v>P068</v>
          </cell>
          <cell r="B57" t="str">
            <v>PLAZA VEA</v>
          </cell>
          <cell r="C57" t="str">
            <v>Lima + Callao</v>
          </cell>
          <cell r="D57">
            <v>39022</v>
          </cell>
          <cell r="E57">
            <v>39022</v>
          </cell>
          <cell r="F57">
            <v>39387</v>
          </cell>
          <cell r="G57" t="str">
            <v>Primavera - PVH</v>
          </cell>
          <cell r="H57" t="str">
            <v>B3</v>
          </cell>
          <cell r="I57" t="str">
            <v>RODOLFO OLIVRY</v>
          </cell>
          <cell r="J57" t="str">
            <v>Sebastián Santangelo</v>
          </cell>
          <cell r="K57" t="str">
            <v>VERONICA VALDEZ</v>
          </cell>
          <cell r="L57" t="str">
            <v>01</v>
          </cell>
          <cell r="M57">
            <v>4667</v>
          </cell>
          <cell r="N57" t="str">
            <v>Lima Metrop Sur</v>
          </cell>
          <cell r="O57" t="str">
            <v>BC3</v>
          </cell>
          <cell r="P57" t="str">
            <v>Lima</v>
          </cell>
          <cell r="Q57" t="str">
            <v>Lima</v>
          </cell>
          <cell r="R57" t="str">
            <v>PRIMAVERA</v>
          </cell>
        </row>
        <row r="58">
          <cell r="A58" t="str">
            <v>P001</v>
          </cell>
          <cell r="B58" t="str">
            <v>PLAZA VEA</v>
          </cell>
          <cell r="C58" t="str">
            <v>Lima + Callao</v>
          </cell>
          <cell r="D58">
            <v>38896</v>
          </cell>
          <cell r="E58">
            <v>38896</v>
          </cell>
          <cell r="F58">
            <v>39264</v>
          </cell>
          <cell r="G58" t="str">
            <v>Los Olivos - PVH</v>
          </cell>
          <cell r="H58" t="str">
            <v>B2</v>
          </cell>
          <cell r="I58" t="str">
            <v>VIK ENCISO</v>
          </cell>
          <cell r="J58" t="str">
            <v>Sebastián Santangelo</v>
          </cell>
          <cell r="K58" t="str">
            <v>VERONICA VALDEZ</v>
          </cell>
          <cell r="L58" t="str">
            <v>01</v>
          </cell>
          <cell r="M58">
            <v>2315</v>
          </cell>
          <cell r="N58" t="str">
            <v>Lima Cono Norte</v>
          </cell>
          <cell r="O58" t="str">
            <v>BC2</v>
          </cell>
          <cell r="P58" t="str">
            <v>Lima</v>
          </cell>
          <cell r="Q58" t="str">
            <v>Lima</v>
          </cell>
          <cell r="R58" t="str">
            <v>LOS OLIVOS</v>
          </cell>
        </row>
        <row r="59">
          <cell r="A59" t="str">
            <v>P159</v>
          </cell>
          <cell r="B59" t="str">
            <v>PLAZA VEA</v>
          </cell>
          <cell r="C59" t="str">
            <v>Lima + Callao</v>
          </cell>
          <cell r="D59">
            <v>41228</v>
          </cell>
          <cell r="E59">
            <v>41228</v>
          </cell>
          <cell r="F59">
            <v>41609</v>
          </cell>
          <cell r="G59" t="str">
            <v>Acho - PVH</v>
          </cell>
          <cell r="H59" t="str">
            <v>C2</v>
          </cell>
          <cell r="I59" t="str">
            <v>VIK ENCISO</v>
          </cell>
          <cell r="J59" t="str">
            <v>Sebastián Santangelo</v>
          </cell>
          <cell r="K59" t="str">
            <v>VERONICA VALDEZ</v>
          </cell>
          <cell r="L59" t="str">
            <v>01</v>
          </cell>
          <cell r="M59">
            <v>3050</v>
          </cell>
          <cell r="N59" t="str">
            <v>LIMA CENTRO</v>
          </cell>
          <cell r="O59" t="str">
            <v>BC2</v>
          </cell>
          <cell r="P59" t="str">
            <v>Lima</v>
          </cell>
          <cell r="Q59" t="str">
            <v>Lima</v>
          </cell>
          <cell r="R59" t="str">
            <v>ACHO</v>
          </cell>
        </row>
        <row r="60">
          <cell r="A60" t="str">
            <v>P133</v>
          </cell>
          <cell r="B60" t="str">
            <v>PLAZA VEA</v>
          </cell>
          <cell r="C60" t="str">
            <v>Lima + Callao</v>
          </cell>
          <cell r="D60">
            <v>40815</v>
          </cell>
          <cell r="E60">
            <v>40815</v>
          </cell>
          <cell r="F60">
            <v>41183</v>
          </cell>
          <cell r="G60" t="str">
            <v>Guardia Civil - PVH</v>
          </cell>
          <cell r="H60" t="str">
            <v>B2</v>
          </cell>
          <cell r="I60" t="str">
            <v>RODOLFO OLIVRY</v>
          </cell>
          <cell r="J60" t="str">
            <v>Sebastián Santangelo</v>
          </cell>
          <cell r="K60" t="str">
            <v>VERONICA VALDEZ</v>
          </cell>
          <cell r="L60" t="str">
            <v>01</v>
          </cell>
          <cell r="M60">
            <v>3185</v>
          </cell>
          <cell r="N60" t="str">
            <v>Lima Cono Sur</v>
          </cell>
          <cell r="O60" t="str">
            <v>BC2</v>
          </cell>
          <cell r="P60" t="str">
            <v>Lima</v>
          </cell>
          <cell r="Q60" t="str">
            <v>Lima</v>
          </cell>
          <cell r="R60" t="str">
            <v>GUARDIA CIVIL</v>
          </cell>
        </row>
        <row r="61">
          <cell r="A61" t="str">
            <v>P080</v>
          </cell>
          <cell r="B61" t="str">
            <v>PLAZA VEA</v>
          </cell>
          <cell r="C61" t="str">
            <v>Lima + Callao</v>
          </cell>
          <cell r="D61">
            <v>38200</v>
          </cell>
          <cell r="E61">
            <v>38200</v>
          </cell>
          <cell r="F61">
            <v>38565</v>
          </cell>
          <cell r="G61" t="str">
            <v>Bolichera - PVH</v>
          </cell>
          <cell r="H61" t="str">
            <v>B3</v>
          </cell>
          <cell r="I61" t="str">
            <v>RODOLFO OLIVRY</v>
          </cell>
          <cell r="J61" t="str">
            <v>Sebastián Santangelo</v>
          </cell>
          <cell r="K61" t="str">
            <v>VERONICA VALDEZ</v>
          </cell>
          <cell r="L61" t="str">
            <v>01</v>
          </cell>
          <cell r="M61">
            <v>4271</v>
          </cell>
          <cell r="N61" t="str">
            <v>Lima Metrop Oriente</v>
          </cell>
          <cell r="O61" t="str">
            <v>BC3</v>
          </cell>
          <cell r="P61" t="str">
            <v>Lima</v>
          </cell>
          <cell r="Q61" t="str">
            <v>Lima</v>
          </cell>
          <cell r="R61" t="str">
            <v>BOLICHERA</v>
          </cell>
        </row>
        <row r="62">
          <cell r="A62" t="str">
            <v>P333</v>
          </cell>
          <cell r="B62" t="str">
            <v>PLAZA VEA</v>
          </cell>
          <cell r="C62" t="str">
            <v>Lima + Callao</v>
          </cell>
          <cell r="D62">
            <v>42837</v>
          </cell>
          <cell r="E62">
            <v>42837</v>
          </cell>
          <cell r="F62">
            <v>43221</v>
          </cell>
          <cell r="G62" t="str">
            <v>Ves Placita - PVH</v>
          </cell>
          <cell r="H62" t="str">
            <v>C3</v>
          </cell>
          <cell r="I62" t="str">
            <v>RODOLFO OLIVRY</v>
          </cell>
          <cell r="J62" t="str">
            <v>Sebastián Santangelo</v>
          </cell>
          <cell r="K62" t="str">
            <v>VERONICA VALDEZ</v>
          </cell>
          <cell r="M62">
            <v>4021</v>
          </cell>
          <cell r="N62" t="str">
            <v>Lima Cono Sur</v>
          </cell>
          <cell r="O62" t="str">
            <v>BC3</v>
          </cell>
          <cell r="P62" t="str">
            <v>Lima</v>
          </cell>
          <cell r="Q62" t="str">
            <v>Lima</v>
          </cell>
          <cell r="R62" t="str">
            <v>VES PLACITA</v>
          </cell>
        </row>
        <row r="63">
          <cell r="A63" t="str">
            <v>P061</v>
          </cell>
          <cell r="B63" t="str">
            <v>PLAZA VEA</v>
          </cell>
          <cell r="C63" t="str">
            <v>Lima + Callao</v>
          </cell>
          <cell r="D63">
            <v>39449</v>
          </cell>
          <cell r="E63">
            <v>37677</v>
          </cell>
          <cell r="F63">
            <v>38047</v>
          </cell>
          <cell r="G63" t="str">
            <v>Cortijo - PVH</v>
          </cell>
          <cell r="H63" t="str">
            <v>A2</v>
          </cell>
          <cell r="I63" t="str">
            <v>JOHANNA VILCA</v>
          </cell>
          <cell r="J63" t="str">
            <v>Sebastián Santangelo</v>
          </cell>
          <cell r="K63" t="str">
            <v>VERONICA VALDEZ</v>
          </cell>
          <cell r="L63" t="str">
            <v>01</v>
          </cell>
          <cell r="M63">
            <v>3154</v>
          </cell>
          <cell r="N63" t="str">
            <v>Lima Metrop Oriente</v>
          </cell>
          <cell r="O63" t="str">
            <v>A3</v>
          </cell>
          <cell r="P63" t="str">
            <v>Lima</v>
          </cell>
          <cell r="Q63" t="str">
            <v>Lima</v>
          </cell>
          <cell r="R63" t="str">
            <v>CORTIJO</v>
          </cell>
        </row>
        <row r="64">
          <cell r="A64" t="str">
            <v>P223</v>
          </cell>
          <cell r="B64" t="str">
            <v>PLAZA VEA</v>
          </cell>
          <cell r="C64" t="str">
            <v>Provincia</v>
          </cell>
          <cell r="D64">
            <v>41615</v>
          </cell>
          <cell r="E64">
            <v>41615</v>
          </cell>
          <cell r="F64">
            <v>42005</v>
          </cell>
          <cell r="G64" t="str">
            <v>Cusco Mall - PVH</v>
          </cell>
          <cell r="H64" t="str">
            <v>A3</v>
          </cell>
          <cell r="I64" t="str">
            <v>JOE HUAMANCONDOR</v>
          </cell>
          <cell r="J64" t="str">
            <v>Sofía Villanueva</v>
          </cell>
          <cell r="K64" t="str">
            <v>VERONICA VALDEZ</v>
          </cell>
          <cell r="L64" t="str">
            <v>02</v>
          </cell>
          <cell r="M64">
            <v>4844</v>
          </cell>
          <cell r="N64" t="str">
            <v>Resto Peru Sur</v>
          </cell>
          <cell r="O64" t="str">
            <v>BC3</v>
          </cell>
          <cell r="P64" t="str">
            <v>Cusco</v>
          </cell>
          <cell r="Q64" t="str">
            <v>Cusco</v>
          </cell>
          <cell r="R64" t="str">
            <v>CUSCO MALL</v>
          </cell>
        </row>
        <row r="65">
          <cell r="A65" t="str">
            <v>P115</v>
          </cell>
          <cell r="B65" t="str">
            <v>PLAZA VEA</v>
          </cell>
          <cell r="C65" t="str">
            <v>Provincia</v>
          </cell>
          <cell r="D65">
            <v>39644</v>
          </cell>
          <cell r="E65">
            <v>39644</v>
          </cell>
          <cell r="F65">
            <v>40026</v>
          </cell>
          <cell r="G65" t="str">
            <v>Huancayo - PVH</v>
          </cell>
          <cell r="H65" t="str">
            <v>B3</v>
          </cell>
          <cell r="I65" t="str">
            <v>PEPE ARAMBURU</v>
          </cell>
          <cell r="J65" t="str">
            <v>Sofía Villanueva</v>
          </cell>
          <cell r="K65" t="str">
            <v>VERONICA VALDEZ</v>
          </cell>
          <cell r="L65" t="str">
            <v>01</v>
          </cell>
          <cell r="M65">
            <v>4858</v>
          </cell>
          <cell r="N65" t="str">
            <v>Resto Peru Norte</v>
          </cell>
          <cell r="O65" t="str">
            <v>BC3</v>
          </cell>
          <cell r="P65" t="str">
            <v>Junin</v>
          </cell>
          <cell r="Q65" t="str">
            <v>Huancayo</v>
          </cell>
          <cell r="R65" t="str">
            <v>HUANCAYO</v>
          </cell>
        </row>
        <row r="66">
          <cell r="A66" t="str">
            <v>P262</v>
          </cell>
          <cell r="B66" t="str">
            <v>PLAZA VEA</v>
          </cell>
          <cell r="C66" t="str">
            <v>Provincia</v>
          </cell>
          <cell r="D66">
            <v>42356</v>
          </cell>
          <cell r="E66">
            <v>42356</v>
          </cell>
          <cell r="F66">
            <v>42736</v>
          </cell>
          <cell r="G66" t="str">
            <v>Talara Municipalidad - PVH</v>
          </cell>
          <cell r="H66" t="str">
            <v>B3</v>
          </cell>
          <cell r="I66" t="str">
            <v>MELANY ALVARADO</v>
          </cell>
          <cell r="J66" t="str">
            <v>Sofía Villanueva</v>
          </cell>
          <cell r="K66" t="str">
            <v>VERONICA VALDEZ</v>
          </cell>
          <cell r="L66" t="str">
            <v>02</v>
          </cell>
          <cell r="M66">
            <v>3708</v>
          </cell>
          <cell r="N66" t="str">
            <v>Resto Peru Norte</v>
          </cell>
          <cell r="O66" t="str">
            <v>BC3</v>
          </cell>
          <cell r="P66" t="str">
            <v>Piura</v>
          </cell>
          <cell r="Q66" t="str">
            <v>Talara</v>
          </cell>
          <cell r="R66" t="str">
            <v>TALARA MUNICIPALIDAD</v>
          </cell>
        </row>
        <row r="67">
          <cell r="A67" t="str">
            <v>SO02</v>
          </cell>
          <cell r="B67" t="str">
            <v>PLAZA VEA</v>
          </cell>
          <cell r="C67" t="str">
            <v>Provincia</v>
          </cell>
          <cell r="D67">
            <v>41900</v>
          </cell>
          <cell r="E67">
            <v>41900</v>
          </cell>
          <cell r="F67">
            <v>42278</v>
          </cell>
          <cell r="G67" t="str">
            <v>Pucallpa - PVO</v>
          </cell>
          <cell r="H67" t="str">
            <v>B3</v>
          </cell>
          <cell r="I67" t="str">
            <v>PEPE ARAMBURU</v>
          </cell>
          <cell r="J67" t="str">
            <v>Sofía Villanueva</v>
          </cell>
          <cell r="K67" t="str">
            <v>VERONICA VALDEZ</v>
          </cell>
          <cell r="L67" t="str">
            <v>02</v>
          </cell>
          <cell r="M67">
            <v>4112</v>
          </cell>
          <cell r="N67" t="str">
            <v>Resto Peru Norte</v>
          </cell>
          <cell r="O67" t="str">
            <v>BC3</v>
          </cell>
          <cell r="P67" t="str">
            <v>Ucayali</v>
          </cell>
          <cell r="Q67" t="str">
            <v>Coronel Portillo</v>
          </cell>
          <cell r="R67" t="str">
            <v>PUCALLPA</v>
          </cell>
        </row>
        <row r="68">
          <cell r="A68" t="str">
            <v>P146</v>
          </cell>
          <cell r="B68" t="str">
            <v>PLAZA VEA</v>
          </cell>
          <cell r="C68" t="str">
            <v>Provincia</v>
          </cell>
          <cell r="D68">
            <v>40485</v>
          </cell>
          <cell r="E68">
            <v>40485</v>
          </cell>
          <cell r="F68">
            <v>40878</v>
          </cell>
          <cell r="G68" t="str">
            <v>Tacna - PVH</v>
          </cell>
          <cell r="H68" t="str">
            <v>B3</v>
          </cell>
          <cell r="I68" t="str">
            <v>JOE HUAMANCONDOR</v>
          </cell>
          <cell r="J68" t="str">
            <v>Sofía Villanueva</v>
          </cell>
          <cell r="K68" t="str">
            <v>VERONICA VALDEZ</v>
          </cell>
          <cell r="L68" t="str">
            <v>01</v>
          </cell>
          <cell r="M68">
            <v>3903</v>
          </cell>
          <cell r="N68" t="str">
            <v>Resto Peru Sur</v>
          </cell>
          <cell r="O68" t="str">
            <v>BC3</v>
          </cell>
          <cell r="P68" t="str">
            <v>Tacna</v>
          </cell>
          <cell r="Q68" t="str">
            <v>Tacna</v>
          </cell>
          <cell r="R68" t="str">
            <v>TACNA</v>
          </cell>
        </row>
        <row r="69">
          <cell r="A69" t="str">
            <v>P192</v>
          </cell>
          <cell r="B69" t="str">
            <v>PLAZA VEA</v>
          </cell>
          <cell r="C69" t="str">
            <v>Provincia</v>
          </cell>
          <cell r="D69">
            <v>41249</v>
          </cell>
          <cell r="E69">
            <v>41249</v>
          </cell>
          <cell r="F69">
            <v>41640</v>
          </cell>
          <cell r="G69" t="str">
            <v>Sullana - PVH</v>
          </cell>
          <cell r="H69" t="str">
            <v>B2</v>
          </cell>
          <cell r="I69" t="str">
            <v>MELANY ALVARADO</v>
          </cell>
          <cell r="J69" t="str">
            <v>Sofía Villanueva</v>
          </cell>
          <cell r="K69" t="str">
            <v>VERONICA VALDEZ</v>
          </cell>
          <cell r="L69" t="str">
            <v>01</v>
          </cell>
          <cell r="M69">
            <v>1830</v>
          </cell>
          <cell r="N69" t="str">
            <v>Piura</v>
          </cell>
          <cell r="O69" t="str">
            <v>BC2</v>
          </cell>
          <cell r="P69" t="str">
            <v>Piura</v>
          </cell>
          <cell r="Q69" t="str">
            <v>Sullana</v>
          </cell>
          <cell r="R69" t="str">
            <v>SULLANA</v>
          </cell>
        </row>
        <row r="70">
          <cell r="A70" t="str">
            <v>SO03</v>
          </cell>
          <cell r="B70" t="str">
            <v>PLAZA VEA</v>
          </cell>
          <cell r="C70" t="str">
            <v>Provincia</v>
          </cell>
          <cell r="D70">
            <v>41264</v>
          </cell>
          <cell r="E70">
            <v>41264</v>
          </cell>
          <cell r="F70">
            <v>41640</v>
          </cell>
          <cell r="G70" t="str">
            <v>Huanuco - PVO</v>
          </cell>
          <cell r="H70" t="str">
            <v>B3</v>
          </cell>
          <cell r="I70" t="str">
            <v>PEPE ARAMBURU</v>
          </cell>
          <cell r="J70" t="str">
            <v>Sofía Villanueva</v>
          </cell>
          <cell r="K70" t="str">
            <v>VERONICA VALDEZ</v>
          </cell>
          <cell r="L70" t="str">
            <v>02</v>
          </cell>
          <cell r="M70">
            <v>3638</v>
          </cell>
          <cell r="N70" t="str">
            <v>Resto Peru Norte</v>
          </cell>
          <cell r="O70" t="str">
            <v>BC3</v>
          </cell>
          <cell r="P70" t="str">
            <v>Huanuco</v>
          </cell>
          <cell r="Q70" t="str">
            <v>Huanuco</v>
          </cell>
          <cell r="R70" t="str">
            <v>HUANUCO</v>
          </cell>
        </row>
        <row r="71">
          <cell r="A71" t="str">
            <v>P724</v>
          </cell>
          <cell r="B71" t="str">
            <v>PLAZA VEA</v>
          </cell>
          <cell r="C71" t="str">
            <v>Provincia</v>
          </cell>
          <cell r="D71">
            <v>43812</v>
          </cell>
          <cell r="E71">
            <v>43812</v>
          </cell>
          <cell r="F71">
            <v>44197</v>
          </cell>
          <cell r="G71" t="str">
            <v>Tumbes - PVH</v>
          </cell>
          <cell r="H71" t="str">
            <v>B3</v>
          </cell>
          <cell r="I71" t="str">
            <v>MELANY ALVARADO</v>
          </cell>
          <cell r="J71" t="str">
            <v>Sofía Villanueva</v>
          </cell>
          <cell r="K71" t="str">
            <v>VERONICA VALDEZ</v>
          </cell>
          <cell r="M71">
            <v>3900</v>
          </cell>
          <cell r="N71" t="str">
            <v>Resto Peru Norte</v>
          </cell>
          <cell r="O71" t="str">
            <v>BC3</v>
          </cell>
          <cell r="P71" t="str">
            <v>Tumbes</v>
          </cell>
          <cell r="Q71" t="str">
            <v>Tumbes</v>
          </cell>
          <cell r="R71" t="str">
            <v>TUMBES</v>
          </cell>
        </row>
        <row r="72">
          <cell r="A72" t="str">
            <v>P145</v>
          </cell>
          <cell r="B72" t="str">
            <v>PLAZA VEA</v>
          </cell>
          <cell r="C72" t="str">
            <v>Provincia</v>
          </cell>
          <cell r="D72">
            <v>40506</v>
          </cell>
          <cell r="E72">
            <v>40506</v>
          </cell>
          <cell r="F72">
            <v>40878</v>
          </cell>
          <cell r="G72" t="str">
            <v>Piura - PVH</v>
          </cell>
          <cell r="H72" t="str">
            <v>A3</v>
          </cell>
          <cell r="I72" t="str">
            <v>MELANY ALVARADO</v>
          </cell>
          <cell r="J72" t="str">
            <v>Sofía Villanueva</v>
          </cell>
          <cell r="K72" t="str">
            <v>VERONICA VALDEZ</v>
          </cell>
          <cell r="L72" t="str">
            <v>01</v>
          </cell>
          <cell r="M72">
            <v>3910</v>
          </cell>
          <cell r="N72" t="str">
            <v>Piura</v>
          </cell>
          <cell r="O72" t="str">
            <v>BC3</v>
          </cell>
          <cell r="P72" t="str">
            <v>Piura</v>
          </cell>
          <cell r="Q72" t="str">
            <v>Piura</v>
          </cell>
          <cell r="R72" t="str">
            <v>PIURA</v>
          </cell>
        </row>
        <row r="73">
          <cell r="A73" t="str">
            <v>P177</v>
          </cell>
          <cell r="B73" t="str">
            <v>PLAZA VEA</v>
          </cell>
          <cell r="C73" t="str">
            <v>Provincia</v>
          </cell>
          <cell r="D73">
            <v>40960</v>
          </cell>
          <cell r="E73">
            <v>40960</v>
          </cell>
          <cell r="F73">
            <v>41334</v>
          </cell>
          <cell r="G73" t="str">
            <v>Talara - PVH</v>
          </cell>
          <cell r="H73" t="str">
            <v>B2</v>
          </cell>
          <cell r="I73" t="str">
            <v>MELANY ALVARADO</v>
          </cell>
          <cell r="J73" t="str">
            <v>Sofía Villanueva</v>
          </cell>
          <cell r="K73" t="str">
            <v>VERONICA VALDEZ</v>
          </cell>
          <cell r="L73" t="str">
            <v>01</v>
          </cell>
          <cell r="M73">
            <v>2074</v>
          </cell>
          <cell r="N73" t="str">
            <v>Resto Peru Norte</v>
          </cell>
          <cell r="O73" t="str">
            <v>BC2</v>
          </cell>
          <cell r="P73" t="str">
            <v>Piura</v>
          </cell>
          <cell r="Q73" t="str">
            <v>Talara</v>
          </cell>
          <cell r="R73" t="str">
            <v>TALARA</v>
          </cell>
        </row>
        <row r="74">
          <cell r="A74" t="str">
            <v>P130</v>
          </cell>
          <cell r="B74" t="str">
            <v>PLAZA VEA</v>
          </cell>
          <cell r="C74" t="str">
            <v>Provincia</v>
          </cell>
          <cell r="D74">
            <v>40177</v>
          </cell>
          <cell r="E74">
            <v>40177</v>
          </cell>
          <cell r="F74">
            <v>40544</v>
          </cell>
          <cell r="G74" t="str">
            <v>Chimbote - PVH</v>
          </cell>
          <cell r="H74" t="str">
            <v>B2</v>
          </cell>
          <cell r="I74" t="str">
            <v>MELANY ALVARADO</v>
          </cell>
          <cell r="J74" t="str">
            <v>Sofía Villanueva</v>
          </cell>
          <cell r="K74" t="str">
            <v>VERONICA VALDEZ</v>
          </cell>
          <cell r="L74" t="str">
            <v>01</v>
          </cell>
          <cell r="M74">
            <v>3454</v>
          </cell>
          <cell r="N74" t="str">
            <v>Chimbote</v>
          </cell>
          <cell r="O74" t="str">
            <v>BC2</v>
          </cell>
          <cell r="P74" t="str">
            <v>Ancash</v>
          </cell>
          <cell r="Q74" t="str">
            <v>Santa</v>
          </cell>
          <cell r="R74" t="str">
            <v>CHIMBOTE</v>
          </cell>
        </row>
        <row r="75">
          <cell r="A75" t="str">
            <v>SO05</v>
          </cell>
          <cell r="B75" t="str">
            <v>PLAZA VEA</v>
          </cell>
          <cell r="C75" t="str">
            <v>Provincia</v>
          </cell>
          <cell r="D75">
            <v>43439</v>
          </cell>
          <cell r="E75">
            <v>43439</v>
          </cell>
          <cell r="F75">
            <v>43831</v>
          </cell>
          <cell r="G75" t="str">
            <v>Tarapoto - PVO</v>
          </cell>
          <cell r="H75" t="str">
            <v>C3</v>
          </cell>
          <cell r="I75" t="str">
            <v>PEPE ARAMBURU</v>
          </cell>
          <cell r="J75" t="str">
            <v>Sofía Villanueva</v>
          </cell>
          <cell r="K75" t="str">
            <v>VERONICA VALDEZ</v>
          </cell>
          <cell r="L75" t="str">
            <v>02</v>
          </cell>
          <cell r="M75">
            <v>3961</v>
          </cell>
          <cell r="N75" t="str">
            <v>Resto Peru Norte</v>
          </cell>
          <cell r="O75" t="str">
            <v>BC3</v>
          </cell>
          <cell r="P75" t="str">
            <v>San Martin</v>
          </cell>
          <cell r="Q75" t="str">
            <v>San Martin</v>
          </cell>
          <cell r="R75" t="str">
            <v>TARAPOTO</v>
          </cell>
        </row>
        <row r="76">
          <cell r="A76" t="str">
            <v>P122</v>
          </cell>
          <cell r="B76" t="str">
            <v>PLAZA VEA</v>
          </cell>
          <cell r="C76" t="str">
            <v>Provincia</v>
          </cell>
          <cell r="D76">
            <v>39931</v>
          </cell>
          <cell r="E76">
            <v>39931</v>
          </cell>
          <cell r="F76">
            <v>40299</v>
          </cell>
          <cell r="G76" t="str">
            <v>Ica - PVH</v>
          </cell>
          <cell r="H76" t="str">
            <v>B3</v>
          </cell>
          <cell r="I76" t="str">
            <v>JOE HUAMANCONDOR</v>
          </cell>
          <cell r="J76" t="str">
            <v>Sofía Villanueva</v>
          </cell>
          <cell r="K76" t="str">
            <v>VERONICA VALDEZ</v>
          </cell>
          <cell r="L76" t="str">
            <v>01</v>
          </cell>
          <cell r="M76">
            <v>4499</v>
          </cell>
          <cell r="N76" t="str">
            <v>Ica</v>
          </cell>
          <cell r="O76" t="str">
            <v>BC3</v>
          </cell>
          <cell r="P76" t="str">
            <v>Ica</v>
          </cell>
          <cell r="Q76" t="str">
            <v>Ica</v>
          </cell>
          <cell r="R76" t="str">
            <v>ICA</v>
          </cell>
        </row>
        <row r="77">
          <cell r="A77" t="str">
            <v>P172</v>
          </cell>
          <cell r="B77" t="str">
            <v>PLAZA VEA</v>
          </cell>
          <cell r="C77" t="str">
            <v>Provincia</v>
          </cell>
          <cell r="D77">
            <v>40905</v>
          </cell>
          <cell r="E77">
            <v>40905</v>
          </cell>
          <cell r="F77">
            <v>41275</v>
          </cell>
          <cell r="G77" t="str">
            <v>Puno - PVH</v>
          </cell>
          <cell r="H77" t="str">
            <v>B2</v>
          </cell>
          <cell r="I77" t="str">
            <v>JOE HUAMANCONDOR</v>
          </cell>
          <cell r="J77" t="str">
            <v>Sofía Villanueva</v>
          </cell>
          <cell r="K77" t="str">
            <v>VERONICA VALDEZ</v>
          </cell>
          <cell r="L77" t="str">
            <v>01</v>
          </cell>
          <cell r="M77">
            <v>3114</v>
          </cell>
          <cell r="N77" t="str">
            <v>Resto Peru Sur</v>
          </cell>
          <cell r="O77" t="str">
            <v>BC2</v>
          </cell>
          <cell r="P77" t="str">
            <v>Puno</v>
          </cell>
          <cell r="Q77" t="str">
            <v>Puno</v>
          </cell>
          <cell r="R77" t="str">
            <v>PUNO</v>
          </cell>
        </row>
        <row r="78">
          <cell r="A78" t="str">
            <v>P143</v>
          </cell>
          <cell r="B78" t="str">
            <v>PLAZA VEA</v>
          </cell>
          <cell r="C78" t="str">
            <v>Provincia</v>
          </cell>
          <cell r="D78">
            <v>40465</v>
          </cell>
          <cell r="E78">
            <v>40465</v>
          </cell>
          <cell r="F78">
            <v>40848</v>
          </cell>
          <cell r="G78" t="str">
            <v>Nvo Chimbote - PVH</v>
          </cell>
          <cell r="H78" t="str">
            <v>B2</v>
          </cell>
          <cell r="I78" t="str">
            <v>MELANY ALVARADO</v>
          </cell>
          <cell r="J78" t="str">
            <v>Sofía Villanueva</v>
          </cell>
          <cell r="K78" t="str">
            <v>VERONICA VALDEZ</v>
          </cell>
          <cell r="L78" t="str">
            <v>01</v>
          </cell>
          <cell r="M78">
            <v>3800</v>
          </cell>
          <cell r="N78" t="str">
            <v>Chimbote</v>
          </cell>
          <cell r="O78" t="str">
            <v>BC2</v>
          </cell>
          <cell r="P78" t="str">
            <v>Ancash</v>
          </cell>
          <cell r="Q78" t="str">
            <v>Santa</v>
          </cell>
          <cell r="R78" t="str">
            <v>NVO CHIMBOTE</v>
          </cell>
        </row>
        <row r="79">
          <cell r="A79" t="str">
            <v>P144</v>
          </cell>
          <cell r="B79" t="str">
            <v>PLAZA VEA</v>
          </cell>
          <cell r="C79" t="str">
            <v>Provincia</v>
          </cell>
          <cell r="D79">
            <v>40478</v>
          </cell>
          <cell r="E79">
            <v>40478</v>
          </cell>
          <cell r="F79">
            <v>40848</v>
          </cell>
          <cell r="G79" t="str">
            <v>Huacho - PVH</v>
          </cell>
          <cell r="H79" t="str">
            <v>B2</v>
          </cell>
          <cell r="I79" t="str">
            <v>PEPE ARAMBURU</v>
          </cell>
          <cell r="J79" t="str">
            <v>Sofía Villanueva</v>
          </cell>
          <cell r="K79" t="str">
            <v>VERONICA VALDEZ</v>
          </cell>
          <cell r="L79" t="str">
            <v>01</v>
          </cell>
          <cell r="M79">
            <v>3200</v>
          </cell>
          <cell r="N79" t="str">
            <v>Resto Peru Norte</v>
          </cell>
          <cell r="O79" t="str">
            <v>BC2</v>
          </cell>
          <cell r="P79" t="str">
            <v>Lima</v>
          </cell>
          <cell r="Q79" t="str">
            <v>Huaura</v>
          </cell>
          <cell r="R79" t="str">
            <v>HUACHO</v>
          </cell>
        </row>
        <row r="80">
          <cell r="A80" t="str">
            <v>P226</v>
          </cell>
          <cell r="B80" t="str">
            <v>PLAZA VEA</v>
          </cell>
          <cell r="C80" t="str">
            <v>Provincia</v>
          </cell>
          <cell r="E80">
            <v>41621</v>
          </cell>
          <cell r="F80">
            <v>42005</v>
          </cell>
          <cell r="G80" t="str">
            <v>Paita - PVH</v>
          </cell>
          <cell r="H80" t="str">
            <v>C3</v>
          </cell>
          <cell r="I80" t="str">
            <v>MELANY ALVARADO</v>
          </cell>
          <cell r="J80" t="str">
            <v>Sofía Villanueva</v>
          </cell>
          <cell r="K80" t="str">
            <v>VERONICA VALDEZ</v>
          </cell>
          <cell r="L80" t="str">
            <v>02</v>
          </cell>
          <cell r="M80">
            <v>3486</v>
          </cell>
          <cell r="N80" t="str">
            <v>Resto Peru Norte</v>
          </cell>
          <cell r="O80" t="str">
            <v>BC3</v>
          </cell>
          <cell r="P80" t="str">
            <v>Piura</v>
          </cell>
          <cell r="Q80" t="str">
            <v>Paita</v>
          </cell>
          <cell r="R80" t="str">
            <v>PAITA</v>
          </cell>
        </row>
        <row r="81">
          <cell r="A81" t="str">
            <v>P516</v>
          </cell>
          <cell r="B81" t="str">
            <v>PLAZA VEA</v>
          </cell>
          <cell r="C81" t="str">
            <v>Provincia</v>
          </cell>
          <cell r="D81">
            <v>43444</v>
          </cell>
          <cell r="E81">
            <v>43444</v>
          </cell>
          <cell r="F81">
            <v>43831</v>
          </cell>
          <cell r="G81" t="str">
            <v>Ilo - PVH</v>
          </cell>
          <cell r="H81" t="str">
            <v>B3</v>
          </cell>
          <cell r="I81" t="str">
            <v>JOE HUAMANCONDOR</v>
          </cell>
          <cell r="J81" t="str">
            <v>Sofía Villanueva</v>
          </cell>
          <cell r="K81" t="str">
            <v>VERONICA VALDEZ</v>
          </cell>
          <cell r="M81">
            <v>3772</v>
          </cell>
          <cell r="N81" t="str">
            <v>Resto Peru Sur</v>
          </cell>
          <cell r="O81" t="str">
            <v>BC3</v>
          </cell>
          <cell r="P81" t="str">
            <v>Moquegua</v>
          </cell>
          <cell r="Q81" t="str">
            <v>Ilo</v>
          </cell>
          <cell r="R81" t="str">
            <v>ILO</v>
          </cell>
        </row>
        <row r="82">
          <cell r="A82" t="str">
            <v>P147</v>
          </cell>
          <cell r="B82" t="str">
            <v>PLAZA VEA</v>
          </cell>
          <cell r="C82" t="str">
            <v>Provincia</v>
          </cell>
          <cell r="D82">
            <v>40522</v>
          </cell>
          <cell r="E82">
            <v>40522</v>
          </cell>
          <cell r="F82">
            <v>40909</v>
          </cell>
          <cell r="G82" t="str">
            <v>Juliaca - PVH</v>
          </cell>
          <cell r="H82" t="str">
            <v>B3</v>
          </cell>
          <cell r="I82" t="str">
            <v>JOE HUAMANCONDOR</v>
          </cell>
          <cell r="J82" t="str">
            <v>Sofía Villanueva</v>
          </cell>
          <cell r="K82" t="str">
            <v>VERONICA VALDEZ</v>
          </cell>
          <cell r="L82" t="str">
            <v>01</v>
          </cell>
          <cell r="M82">
            <v>4295</v>
          </cell>
          <cell r="N82" t="str">
            <v>Resto Peru Sur</v>
          </cell>
          <cell r="O82" t="str">
            <v>BC3</v>
          </cell>
          <cell r="P82" t="str">
            <v>Puno</v>
          </cell>
          <cell r="Q82" t="str">
            <v>San Roman</v>
          </cell>
          <cell r="R82" t="str">
            <v>JULIACA</v>
          </cell>
        </row>
        <row r="83">
          <cell r="A83" t="str">
            <v>P104</v>
          </cell>
          <cell r="B83" t="str">
            <v>PLAZA VEA</v>
          </cell>
          <cell r="C83" t="str">
            <v>Provincia</v>
          </cell>
          <cell r="D83">
            <v>39392</v>
          </cell>
          <cell r="E83">
            <v>39392</v>
          </cell>
          <cell r="F83">
            <v>39783</v>
          </cell>
          <cell r="G83" t="str">
            <v>Arequipa - PVH</v>
          </cell>
          <cell r="H83" t="str">
            <v>B3</v>
          </cell>
          <cell r="I83" t="str">
            <v>JOE HUAMANCONDOR</v>
          </cell>
          <cell r="J83" t="str">
            <v>Sofía Villanueva</v>
          </cell>
          <cell r="K83" t="str">
            <v>VERONICA VALDEZ</v>
          </cell>
          <cell r="L83" t="str">
            <v>01</v>
          </cell>
          <cell r="M83">
            <v>4120</v>
          </cell>
          <cell r="N83" t="str">
            <v>Arequipa</v>
          </cell>
          <cell r="O83" t="str">
            <v>BC3</v>
          </cell>
          <cell r="P83" t="str">
            <v>Arequipa</v>
          </cell>
          <cell r="Q83" t="str">
            <v>Arequipa</v>
          </cell>
          <cell r="R83" t="str">
            <v>AREQUIPA</v>
          </cell>
        </row>
        <row r="84">
          <cell r="A84" t="str">
            <v>P075</v>
          </cell>
          <cell r="B84" t="str">
            <v>PLAZA VEA</v>
          </cell>
          <cell r="C84" t="str">
            <v>Provincia</v>
          </cell>
          <cell r="D84">
            <v>39275</v>
          </cell>
          <cell r="E84">
            <v>39275</v>
          </cell>
          <cell r="F84">
            <v>39661</v>
          </cell>
          <cell r="G84" t="str">
            <v>Trujillo - PVH</v>
          </cell>
          <cell r="H84" t="str">
            <v>A3</v>
          </cell>
          <cell r="I84" t="str">
            <v>MELANY ALVARADO</v>
          </cell>
          <cell r="J84" t="str">
            <v>Sofía Villanueva</v>
          </cell>
          <cell r="K84" t="str">
            <v>VERONICA VALDEZ</v>
          </cell>
          <cell r="L84" t="str">
            <v>01</v>
          </cell>
          <cell r="M84">
            <v>4822</v>
          </cell>
          <cell r="N84" t="str">
            <v>Trujillo</v>
          </cell>
          <cell r="O84" t="str">
            <v>BC3</v>
          </cell>
          <cell r="P84" t="str">
            <v>La Libertad</v>
          </cell>
          <cell r="Q84" t="str">
            <v>Trujillo</v>
          </cell>
          <cell r="R84" t="str">
            <v>TRUJILLO</v>
          </cell>
        </row>
        <row r="85">
          <cell r="A85" t="str">
            <v>P225</v>
          </cell>
          <cell r="B85" t="str">
            <v>PLAZA VEA</v>
          </cell>
          <cell r="C85" t="str">
            <v>Provincia</v>
          </cell>
          <cell r="D85">
            <v>41614</v>
          </cell>
          <cell r="E85">
            <v>41614</v>
          </cell>
          <cell r="F85">
            <v>42005</v>
          </cell>
          <cell r="G85" t="str">
            <v>Cajamarca - PVH</v>
          </cell>
          <cell r="H85" t="str">
            <v>B3</v>
          </cell>
          <cell r="I85" t="str">
            <v>PEPE ARAMBURU</v>
          </cell>
          <cell r="J85" t="str">
            <v>Sofía Villanueva</v>
          </cell>
          <cell r="K85" t="str">
            <v>VERONICA VALDEZ</v>
          </cell>
          <cell r="L85" t="str">
            <v>02</v>
          </cell>
          <cell r="M85">
            <v>3685</v>
          </cell>
          <cell r="N85" t="str">
            <v>Resto Peru Norte</v>
          </cell>
          <cell r="O85" t="str">
            <v>BC3</v>
          </cell>
          <cell r="P85" t="str">
            <v>Cajamarca</v>
          </cell>
          <cell r="Q85" t="str">
            <v>Cajamarca</v>
          </cell>
          <cell r="R85" t="str">
            <v>CAJAMARCA</v>
          </cell>
        </row>
        <row r="86">
          <cell r="A86" t="str">
            <v>P201</v>
          </cell>
          <cell r="B86" t="str">
            <v>PLAZA VEA</v>
          </cell>
          <cell r="C86" t="str">
            <v>Provincia</v>
          </cell>
          <cell r="D86">
            <v>41272</v>
          </cell>
          <cell r="E86">
            <v>41272</v>
          </cell>
          <cell r="F86">
            <v>41640</v>
          </cell>
          <cell r="G86" t="str">
            <v>Huaral - PVH</v>
          </cell>
          <cell r="H86" t="str">
            <v>C2</v>
          </cell>
          <cell r="I86" t="str">
            <v>PEPE ARAMBURU</v>
          </cell>
          <cell r="J86" t="str">
            <v>Sofía Villanueva</v>
          </cell>
          <cell r="K86" t="str">
            <v>VERONICA VALDEZ</v>
          </cell>
          <cell r="L86" t="str">
            <v>01</v>
          </cell>
          <cell r="M86">
            <v>2279</v>
          </cell>
          <cell r="N86" t="str">
            <v>Resto Peru Norte</v>
          </cell>
          <cell r="O86" t="str">
            <v>BC2</v>
          </cell>
          <cell r="P86" t="str">
            <v>Lima</v>
          </cell>
          <cell r="Q86" t="str">
            <v>Huaral</v>
          </cell>
          <cell r="R86" t="str">
            <v>HUARAL</v>
          </cell>
        </row>
        <row r="87">
          <cell r="A87" t="str">
            <v>SO04</v>
          </cell>
          <cell r="B87" t="str">
            <v>PLAZA VEA</v>
          </cell>
          <cell r="C87" t="str">
            <v>Provincia</v>
          </cell>
          <cell r="D87">
            <v>42335</v>
          </cell>
          <cell r="E87">
            <v>42335</v>
          </cell>
          <cell r="G87" t="str">
            <v>Jaen - PVO</v>
          </cell>
          <cell r="H87" t="str">
            <v>C3</v>
          </cell>
          <cell r="I87" t="str">
            <v>PEPE ARAMBURU</v>
          </cell>
          <cell r="J87" t="str">
            <v>Sofía Villanueva</v>
          </cell>
          <cell r="K87" t="str">
            <v>VERONICA VALDEZ</v>
          </cell>
          <cell r="L87" t="str">
            <v>02</v>
          </cell>
          <cell r="M87">
            <v>3976</v>
          </cell>
          <cell r="N87" t="str">
            <v>Resto Peru Norte</v>
          </cell>
          <cell r="O87" t="str">
            <v>BC3</v>
          </cell>
          <cell r="P87" t="str">
            <v>Cajamarca</v>
          </cell>
          <cell r="Q87" t="str">
            <v>Jaen</v>
          </cell>
          <cell r="R87" t="str">
            <v>JAEN</v>
          </cell>
        </row>
        <row r="88">
          <cell r="A88" t="str">
            <v>P259</v>
          </cell>
          <cell r="B88" t="str">
            <v>PLAZA VEA</v>
          </cell>
          <cell r="C88" t="str">
            <v>Provincia</v>
          </cell>
          <cell r="D88">
            <v>42280</v>
          </cell>
          <cell r="E88">
            <v>42280</v>
          </cell>
          <cell r="F88">
            <v>42675</v>
          </cell>
          <cell r="G88" t="str">
            <v>Moquegua - PVH</v>
          </cell>
          <cell r="H88" t="str">
            <v>B3</v>
          </cell>
          <cell r="I88" t="str">
            <v>JOE HUAMANCONDOR</v>
          </cell>
          <cell r="J88" t="str">
            <v>Sofía Villanueva</v>
          </cell>
          <cell r="K88" t="str">
            <v>VERONICA VALDEZ</v>
          </cell>
          <cell r="L88" t="str">
            <v>02</v>
          </cell>
          <cell r="M88">
            <v>3949</v>
          </cell>
          <cell r="N88" t="str">
            <v>Resto Peru Sur</v>
          </cell>
          <cell r="O88" t="str">
            <v>BC3</v>
          </cell>
          <cell r="P88" t="str">
            <v>Moquegua</v>
          </cell>
          <cell r="Q88" t="str">
            <v>Mariscal Nieto</v>
          </cell>
          <cell r="R88" t="str">
            <v>MOQUEGUA</v>
          </cell>
        </row>
        <row r="89">
          <cell r="A89" t="str">
            <v>P123</v>
          </cell>
          <cell r="B89" t="str">
            <v>PLAZA VEA</v>
          </cell>
          <cell r="C89" t="str">
            <v>Provincia</v>
          </cell>
          <cell r="D89">
            <v>39931</v>
          </cell>
          <cell r="E89">
            <v>39931</v>
          </cell>
          <cell r="F89">
            <v>40299</v>
          </cell>
          <cell r="G89" t="str">
            <v>El Chacarero - PVH</v>
          </cell>
          <cell r="H89" t="str">
            <v>C3</v>
          </cell>
          <cell r="I89" t="str">
            <v>MELANY ALVARADO</v>
          </cell>
          <cell r="J89" t="str">
            <v>Sofía Villanueva</v>
          </cell>
          <cell r="K89" t="str">
            <v>VERONICA VALDEZ</v>
          </cell>
          <cell r="L89" t="str">
            <v>01</v>
          </cell>
          <cell r="M89">
            <v>4442</v>
          </cell>
          <cell r="N89" t="str">
            <v>Trujillo</v>
          </cell>
          <cell r="O89" t="str">
            <v>BC3</v>
          </cell>
          <cell r="P89" t="str">
            <v>La Libertad</v>
          </cell>
          <cell r="Q89" t="str">
            <v>Trujillo</v>
          </cell>
          <cell r="R89" t="str">
            <v>EL CHACARERO</v>
          </cell>
        </row>
        <row r="90">
          <cell r="A90" t="str">
            <v>P769</v>
          </cell>
          <cell r="B90" t="str">
            <v>PLAZA VEA</v>
          </cell>
          <cell r="C90" t="str">
            <v>Provincia</v>
          </cell>
          <cell r="D90">
            <v>44139</v>
          </cell>
          <cell r="E90">
            <v>44139</v>
          </cell>
          <cell r="F90">
            <v>44531</v>
          </cell>
          <cell r="G90" t="str">
            <v>Chiclayo Aventura - PVH</v>
          </cell>
          <cell r="H90" t="str">
            <v>B3</v>
          </cell>
          <cell r="I90" t="str">
            <v>MELANY ALVARADO</v>
          </cell>
          <cell r="J90" t="str">
            <v>Sofía Villanueva</v>
          </cell>
          <cell r="K90" t="str">
            <v>VERONICA VALDEZ</v>
          </cell>
          <cell r="L90" t="str">
            <v>01</v>
          </cell>
          <cell r="M90">
            <v>4314</v>
          </cell>
          <cell r="N90" t="str">
            <v>Chiclayo</v>
          </cell>
          <cell r="O90" t="str">
            <v>BC3</v>
          </cell>
          <cell r="P90" t="str">
            <v>Lambayeque</v>
          </cell>
          <cell r="Q90" t="str">
            <v>Chiclayo</v>
          </cell>
          <cell r="R90" t="str">
            <v>CHICLAYO AVENTURA</v>
          </cell>
        </row>
        <row r="91">
          <cell r="A91" t="str">
            <v>P221</v>
          </cell>
          <cell r="B91" t="str">
            <v>PLAZA VEA</v>
          </cell>
          <cell r="C91" t="str">
            <v>Provincia</v>
          </cell>
          <cell r="D91">
            <v>41586</v>
          </cell>
          <cell r="E91">
            <v>41586</v>
          </cell>
          <cell r="F91">
            <v>41974</v>
          </cell>
          <cell r="G91" t="str">
            <v>Barranca - PVH</v>
          </cell>
          <cell r="H91" t="str">
            <v>C2</v>
          </cell>
          <cell r="I91" t="str">
            <v>PEPE ARAMBURU</v>
          </cell>
          <cell r="J91" t="str">
            <v>Sofía Villanueva</v>
          </cell>
          <cell r="K91" t="str">
            <v>VERONICA VALDEZ</v>
          </cell>
          <cell r="L91" t="str">
            <v>02</v>
          </cell>
          <cell r="M91">
            <v>1741</v>
          </cell>
          <cell r="N91" t="str">
            <v>Resto Peru Norte</v>
          </cell>
          <cell r="O91" t="str">
            <v>BC2</v>
          </cell>
          <cell r="P91" t="str">
            <v>Lima</v>
          </cell>
          <cell r="Q91" t="str">
            <v>Barranca</v>
          </cell>
          <cell r="R91" t="str">
            <v>BARRANCA</v>
          </cell>
        </row>
        <row r="92">
          <cell r="A92" t="str">
            <v>P102</v>
          </cell>
          <cell r="B92" t="str">
            <v>PLAZA VEA</v>
          </cell>
          <cell r="C92" t="str">
            <v>Provincia</v>
          </cell>
          <cell r="D92">
            <v>39359</v>
          </cell>
          <cell r="E92">
            <v>39359</v>
          </cell>
          <cell r="F92">
            <v>39753</v>
          </cell>
          <cell r="G92" t="str">
            <v>Chiclayo - PVH</v>
          </cell>
          <cell r="H92" t="str">
            <v>B3</v>
          </cell>
          <cell r="I92" t="str">
            <v>MELANY ALVARADO</v>
          </cell>
          <cell r="J92" t="str">
            <v>Sofía Villanueva</v>
          </cell>
          <cell r="K92" t="str">
            <v>VERONICA VALDEZ</v>
          </cell>
          <cell r="L92" t="str">
            <v>01</v>
          </cell>
          <cell r="M92">
            <v>4887</v>
          </cell>
          <cell r="N92" t="str">
            <v>Chiclayo</v>
          </cell>
          <cell r="O92" t="str">
            <v>BC3</v>
          </cell>
          <cell r="P92" t="str">
            <v>Lambayeque</v>
          </cell>
          <cell r="Q92" t="str">
            <v>Chiclayo</v>
          </cell>
          <cell r="R92" t="str">
            <v>CHICLAYO</v>
          </cell>
        </row>
        <row r="93">
          <cell r="A93" t="str">
            <v>P236</v>
          </cell>
          <cell r="B93" t="str">
            <v>PLAZA VEA</v>
          </cell>
          <cell r="C93" t="str">
            <v>Provincia</v>
          </cell>
          <cell r="E93">
            <v>41985</v>
          </cell>
          <cell r="F93">
            <v>42370</v>
          </cell>
          <cell r="G93" t="str">
            <v>Pisco - PVH</v>
          </cell>
          <cell r="H93" t="str">
            <v>B2</v>
          </cell>
          <cell r="I93" t="str">
            <v>JOE HUAMANCONDOR</v>
          </cell>
          <cell r="J93" t="str">
            <v>Sofía Villanueva</v>
          </cell>
          <cell r="K93" t="str">
            <v>VERONICA VALDEZ</v>
          </cell>
          <cell r="L93" t="str">
            <v>1</v>
          </cell>
          <cell r="M93">
            <v>3360</v>
          </cell>
          <cell r="N93" t="str">
            <v>Resto Peru Sur</v>
          </cell>
          <cell r="O93" t="str">
            <v>BC2</v>
          </cell>
          <cell r="P93" t="str">
            <v>Ica</v>
          </cell>
          <cell r="Q93" t="str">
            <v>Pisco</v>
          </cell>
          <cell r="R93" t="str">
            <v>PISCO</v>
          </cell>
        </row>
        <row r="94">
          <cell r="A94" t="str">
            <v>P142</v>
          </cell>
          <cell r="B94" t="str">
            <v>PLAZA VEA</v>
          </cell>
          <cell r="C94" t="str">
            <v>Provincia</v>
          </cell>
          <cell r="D94">
            <v>40484</v>
          </cell>
          <cell r="E94">
            <v>40484</v>
          </cell>
          <cell r="F94">
            <v>40878</v>
          </cell>
          <cell r="G94" t="str">
            <v>Chincha - PVH</v>
          </cell>
          <cell r="H94" t="str">
            <v>B2</v>
          </cell>
          <cell r="I94" t="str">
            <v>JOE HUAMANCONDOR</v>
          </cell>
          <cell r="J94" t="str">
            <v>Sofía Villanueva</v>
          </cell>
          <cell r="K94" t="str">
            <v>VERONICA VALDEZ</v>
          </cell>
          <cell r="L94" t="str">
            <v>01</v>
          </cell>
          <cell r="M94">
            <v>2697</v>
          </cell>
          <cell r="N94" t="str">
            <v>Resto Peru Sur</v>
          </cell>
          <cell r="O94" t="str">
            <v>BC2</v>
          </cell>
          <cell r="P94" t="str">
            <v>Ica</v>
          </cell>
          <cell r="Q94" t="str">
            <v>Chincha</v>
          </cell>
          <cell r="R94" t="str">
            <v>CHINCHA</v>
          </cell>
        </row>
        <row r="95">
          <cell r="A95" t="str">
            <v>P137</v>
          </cell>
          <cell r="B95" t="str">
            <v>PLAZA VEA SUPER</v>
          </cell>
          <cell r="C95" t="str">
            <v>null</v>
          </cell>
          <cell r="D95">
            <v>1</v>
          </cell>
          <cell r="E95">
            <v>2</v>
          </cell>
          <cell r="F95">
            <v>398</v>
          </cell>
          <cell r="G95" t="str">
            <v>SVEA Álamos</v>
          </cell>
          <cell r="K95" t="str">
            <v>-</v>
          </cell>
          <cell r="L95" t="str">
            <v>01</v>
          </cell>
          <cell r="N95" t="str">
            <v>null</v>
          </cell>
          <cell r="P95" t="str">
            <v>null</v>
          </cell>
          <cell r="R95" t="str">
            <v>SVEA ÁLAMOS</v>
          </cell>
        </row>
        <row r="96">
          <cell r="A96" t="str">
            <v>P185</v>
          </cell>
          <cell r="B96" t="str">
            <v>PLAZA VEA SUPER</v>
          </cell>
          <cell r="C96" t="str">
            <v>null</v>
          </cell>
          <cell r="D96">
            <v>1</v>
          </cell>
          <cell r="E96">
            <v>2</v>
          </cell>
          <cell r="F96">
            <v>398</v>
          </cell>
          <cell r="G96" t="str">
            <v>SVEA Faisán 2</v>
          </cell>
          <cell r="K96" t="str">
            <v>-</v>
          </cell>
          <cell r="L96" t="str">
            <v>01</v>
          </cell>
          <cell r="N96" t="str">
            <v>null</v>
          </cell>
          <cell r="P96" t="str">
            <v>null</v>
          </cell>
          <cell r="R96" t="str">
            <v>SVEA FAISÁN 2</v>
          </cell>
        </row>
        <row r="97">
          <cell r="A97" t="str">
            <v>P187</v>
          </cell>
          <cell r="B97" t="str">
            <v>PLAZA VEA SUPER</v>
          </cell>
          <cell r="C97" t="str">
            <v>null</v>
          </cell>
          <cell r="D97">
            <v>1</v>
          </cell>
          <cell r="E97">
            <v>2</v>
          </cell>
          <cell r="F97">
            <v>398</v>
          </cell>
          <cell r="G97" t="str">
            <v>SVEA Tda Nva 4</v>
          </cell>
          <cell r="K97" t="str">
            <v>-</v>
          </cell>
          <cell r="L97" t="str">
            <v>01</v>
          </cell>
          <cell r="N97" t="str">
            <v>null</v>
          </cell>
          <cell r="P97" t="str">
            <v>null</v>
          </cell>
          <cell r="R97" t="str">
            <v>SVEA TDA NVA 4</v>
          </cell>
        </row>
        <row r="98">
          <cell r="A98" t="str">
            <v>P80000</v>
          </cell>
          <cell r="B98" t="str">
            <v>PLAZA VEA SUPER</v>
          </cell>
          <cell r="C98" t="str">
            <v>null</v>
          </cell>
          <cell r="E98">
            <v>41913</v>
          </cell>
          <cell r="F98">
            <v>42278</v>
          </cell>
          <cell r="G98" t="str">
            <v>SVEA Mantaraya - Magnolias</v>
          </cell>
          <cell r="K98" t="str">
            <v>-</v>
          </cell>
          <cell r="L98" t="str">
            <v>02</v>
          </cell>
          <cell r="N98" t="str">
            <v>null</v>
          </cell>
          <cell r="P98" t="str">
            <v>null</v>
          </cell>
          <cell r="R98" t="str">
            <v>SVEA MANTARAYA</v>
          </cell>
        </row>
        <row r="99">
          <cell r="A99" t="str">
            <v>P111</v>
          </cell>
          <cell r="B99" t="str">
            <v>PLAZA VEA SUPER</v>
          </cell>
          <cell r="C99" t="str">
            <v>Lima + Callao</v>
          </cell>
          <cell r="D99">
            <v>39479</v>
          </cell>
          <cell r="E99">
            <v>39479</v>
          </cell>
          <cell r="F99">
            <v>39845</v>
          </cell>
          <cell r="G99" t="str">
            <v>SVEA San Miguel</v>
          </cell>
          <cell r="H99" t="str">
            <v>B1</v>
          </cell>
          <cell r="K99" t="str">
            <v>-</v>
          </cell>
          <cell r="L99" t="str">
            <v>01</v>
          </cell>
          <cell r="M99">
            <v>1184.56</v>
          </cell>
          <cell r="N99" t="str">
            <v>Lima Metrop Norte</v>
          </cell>
          <cell r="P99" t="str">
            <v>Lima</v>
          </cell>
          <cell r="R99" t="str">
            <v>SVEA SAN MIGUEL</v>
          </cell>
        </row>
        <row r="100">
          <cell r="A100" t="str">
            <v>P136</v>
          </cell>
          <cell r="B100" t="str">
            <v>PLAZA VEA SUPER</v>
          </cell>
          <cell r="C100" t="str">
            <v>null</v>
          </cell>
          <cell r="G100" t="str">
            <v>FUTURO SAN FELIPE</v>
          </cell>
          <cell r="K100" t="str">
            <v>-</v>
          </cell>
          <cell r="N100" t="str">
            <v>null</v>
          </cell>
          <cell r="P100" t="str">
            <v>null</v>
          </cell>
          <cell r="R100" t="str">
            <v>FUTURO SAN FELIPE</v>
          </cell>
        </row>
        <row r="101">
          <cell r="A101" t="str">
            <v>P188</v>
          </cell>
          <cell r="B101" t="str">
            <v>PLAZA VEA SUPER</v>
          </cell>
          <cell r="C101" t="str">
            <v>null</v>
          </cell>
          <cell r="D101">
            <v>1</v>
          </cell>
          <cell r="E101">
            <v>2</v>
          </cell>
          <cell r="F101">
            <v>398</v>
          </cell>
          <cell r="G101" t="str">
            <v>SVEA Tda Nva 5</v>
          </cell>
          <cell r="K101" t="str">
            <v>-</v>
          </cell>
          <cell r="L101" t="str">
            <v>01</v>
          </cell>
          <cell r="N101" t="str">
            <v>null</v>
          </cell>
          <cell r="P101" t="str">
            <v>null</v>
          </cell>
          <cell r="R101" t="str">
            <v>SVEA TDA NVA 5</v>
          </cell>
        </row>
        <row r="102">
          <cell r="A102" t="str">
            <v>P184</v>
          </cell>
          <cell r="B102" t="str">
            <v>PLAZA VEA SUPER</v>
          </cell>
          <cell r="C102" t="str">
            <v>null</v>
          </cell>
          <cell r="D102">
            <v>1</v>
          </cell>
          <cell r="E102">
            <v>2</v>
          </cell>
          <cell r="F102">
            <v>398</v>
          </cell>
          <cell r="G102" t="str">
            <v>SVEA Faisán</v>
          </cell>
          <cell r="K102" t="str">
            <v>-</v>
          </cell>
          <cell r="L102" t="str">
            <v>01</v>
          </cell>
          <cell r="N102" t="str">
            <v>null</v>
          </cell>
          <cell r="P102" t="str">
            <v>null</v>
          </cell>
          <cell r="R102" t="str">
            <v>SVEA FAISÁN</v>
          </cell>
        </row>
        <row r="103">
          <cell r="A103" t="str">
            <v>P186</v>
          </cell>
          <cell r="B103" t="str">
            <v>PLAZA VEA SUPER</v>
          </cell>
          <cell r="C103" t="str">
            <v>null</v>
          </cell>
          <cell r="D103">
            <v>1</v>
          </cell>
          <cell r="E103">
            <v>2</v>
          </cell>
          <cell r="F103">
            <v>398</v>
          </cell>
          <cell r="G103" t="str">
            <v>SVEA Tda Nva 3</v>
          </cell>
          <cell r="K103" t="str">
            <v>-</v>
          </cell>
          <cell r="L103" t="str">
            <v>01</v>
          </cell>
          <cell r="N103" t="str">
            <v>null</v>
          </cell>
          <cell r="P103" t="str">
            <v>null</v>
          </cell>
          <cell r="R103" t="str">
            <v>SVEA TDA NVA 3</v>
          </cell>
        </row>
        <row r="104">
          <cell r="A104" t="str">
            <v>P219</v>
          </cell>
          <cell r="B104" t="str">
            <v>PLAZA VEA SUPER</v>
          </cell>
          <cell r="C104" t="str">
            <v>Lima + Callao</v>
          </cell>
          <cell r="D104">
            <v>41572</v>
          </cell>
          <cell r="E104">
            <v>41572</v>
          </cell>
          <cell r="F104">
            <v>41944</v>
          </cell>
          <cell r="G104" t="str">
            <v>La Perla - PVS</v>
          </cell>
          <cell r="H104" t="str">
            <v>C1</v>
          </cell>
          <cell r="I104" t="str">
            <v>Fátima León</v>
          </cell>
          <cell r="J104" t="str">
            <v>Fátima León</v>
          </cell>
          <cell r="K104" t="str">
            <v>VERONICA VALDEZ</v>
          </cell>
          <cell r="L104" t="str">
            <v>02</v>
          </cell>
          <cell r="M104">
            <v>875</v>
          </cell>
          <cell r="N104" t="str">
            <v>Lima Metrop Norte</v>
          </cell>
          <cell r="O104" t="str">
            <v>BC1</v>
          </cell>
          <cell r="P104" t="str">
            <v>Callao</v>
          </cell>
          <cell r="Q104" t="str">
            <v>Callao</v>
          </cell>
          <cell r="R104" t="str">
            <v>LA PERLA</v>
          </cell>
        </row>
        <row r="105">
          <cell r="A105" t="str">
            <v>P422</v>
          </cell>
          <cell r="B105" t="str">
            <v>PLAZA VEA SUPER</v>
          </cell>
          <cell r="C105" t="str">
            <v>Lima + Callao</v>
          </cell>
          <cell r="D105">
            <v>43092</v>
          </cell>
          <cell r="E105">
            <v>43092</v>
          </cell>
          <cell r="F105">
            <v>43466</v>
          </cell>
          <cell r="G105" t="str">
            <v>Art Express - PVS</v>
          </cell>
          <cell r="H105" t="str">
            <v>C1</v>
          </cell>
          <cell r="I105" t="str">
            <v>Fátima León</v>
          </cell>
          <cell r="J105" t="str">
            <v>Fátima León</v>
          </cell>
          <cell r="K105" t="str">
            <v>VERONICA VALDEZ</v>
          </cell>
          <cell r="M105">
            <v>713</v>
          </cell>
          <cell r="N105" t="str">
            <v>Lima Centro</v>
          </cell>
          <cell r="O105" t="str">
            <v>FP</v>
          </cell>
          <cell r="P105" t="str">
            <v>Lima</v>
          </cell>
          <cell r="Q105" t="str">
            <v>Lima</v>
          </cell>
          <cell r="R105" t="str">
            <v>ART EXPRESS</v>
          </cell>
        </row>
        <row r="106">
          <cell r="A106" t="str">
            <v>P208</v>
          </cell>
          <cell r="B106" t="str">
            <v>PLAZA VEA SUPER</v>
          </cell>
          <cell r="C106" t="str">
            <v>Lima + Callao</v>
          </cell>
          <cell r="D106">
            <v>40603</v>
          </cell>
          <cell r="E106">
            <v>40603</v>
          </cell>
          <cell r="F106">
            <v>40969</v>
          </cell>
          <cell r="G106" t="str">
            <v>La Victoria PVS</v>
          </cell>
          <cell r="H106" t="str">
            <v>C1</v>
          </cell>
          <cell r="I106" t="str">
            <v>Fátima León</v>
          </cell>
          <cell r="J106" t="str">
            <v>Fátima León</v>
          </cell>
          <cell r="K106" t="str">
            <v>VERONICA VALDEZ</v>
          </cell>
          <cell r="L106" t="str">
            <v>01</v>
          </cell>
          <cell r="M106">
            <v>828</v>
          </cell>
          <cell r="N106" t="str">
            <v>Lima Oriente</v>
          </cell>
          <cell r="O106" t="str">
            <v>FP</v>
          </cell>
          <cell r="P106" t="str">
            <v>Lima</v>
          </cell>
          <cell r="Q106" t="str">
            <v>Lima</v>
          </cell>
          <cell r="R106" t="str">
            <v>LA VICTORIA PVS</v>
          </cell>
        </row>
        <row r="107">
          <cell r="A107" t="str">
            <v>P198</v>
          </cell>
          <cell r="B107" t="str">
            <v>PLAZA VEA SUPER</v>
          </cell>
          <cell r="C107" t="str">
            <v>Lima + Callao</v>
          </cell>
          <cell r="D107">
            <v>41313</v>
          </cell>
          <cell r="E107">
            <v>41313</v>
          </cell>
          <cell r="F107">
            <v>41699</v>
          </cell>
          <cell r="G107" t="str">
            <v>Chorrillos Iglesias - PVS</v>
          </cell>
          <cell r="H107" t="str">
            <v>C1</v>
          </cell>
          <cell r="I107" t="str">
            <v>Fátima León</v>
          </cell>
          <cell r="J107" t="str">
            <v>Fátima León</v>
          </cell>
          <cell r="K107" t="str">
            <v>VERONICA VALDEZ</v>
          </cell>
          <cell r="L107" t="str">
            <v>01</v>
          </cell>
          <cell r="M107">
            <v>1048</v>
          </cell>
          <cell r="N107" t="str">
            <v>Lima Cono Sur</v>
          </cell>
          <cell r="O107" t="str">
            <v>BC1</v>
          </cell>
          <cell r="P107" t="str">
            <v>Lima</v>
          </cell>
          <cell r="Q107" t="str">
            <v>Lima</v>
          </cell>
          <cell r="R107" t="str">
            <v>CHORRILLOS IGLESIAS</v>
          </cell>
        </row>
        <row r="108">
          <cell r="A108" t="str">
            <v>P220</v>
          </cell>
          <cell r="B108" t="str">
            <v>PLAZA VEA SUPER</v>
          </cell>
          <cell r="C108" t="str">
            <v>Provincia</v>
          </cell>
          <cell r="D108">
            <v>41558</v>
          </cell>
          <cell r="E108">
            <v>41558</v>
          </cell>
          <cell r="F108">
            <v>41944</v>
          </cell>
          <cell r="G108" t="str">
            <v>Trujillo Valcarcel - PVS</v>
          </cell>
          <cell r="H108" t="str">
            <v>B1</v>
          </cell>
          <cell r="I108" t="str">
            <v>Fátima León</v>
          </cell>
          <cell r="J108" t="str">
            <v>Fátima León</v>
          </cell>
          <cell r="K108" t="str">
            <v>VERONICA VALDEZ</v>
          </cell>
          <cell r="L108" t="str">
            <v>02</v>
          </cell>
          <cell r="M108">
            <v>713</v>
          </cell>
          <cell r="N108" t="str">
            <v>Trujillo</v>
          </cell>
          <cell r="O108" t="str">
            <v>FP</v>
          </cell>
          <cell r="P108" t="str">
            <v>La Libertad</v>
          </cell>
          <cell r="Q108" t="str">
            <v>Trujillo</v>
          </cell>
          <cell r="R108" t="str">
            <v>TRUJILLO VALCARCEL</v>
          </cell>
        </row>
        <row r="109">
          <cell r="A109" t="str">
            <v>P191</v>
          </cell>
          <cell r="B109" t="str">
            <v>PLAZA VEA SUPER</v>
          </cell>
          <cell r="C109" t="str">
            <v>Lima + Callao</v>
          </cell>
          <cell r="D109">
            <v>41233</v>
          </cell>
          <cell r="E109">
            <v>41233</v>
          </cell>
          <cell r="F109">
            <v>41609</v>
          </cell>
          <cell r="G109" t="str">
            <v>Cine Rimac - PVS</v>
          </cell>
          <cell r="H109" t="str">
            <v>C1</v>
          </cell>
          <cell r="I109" t="str">
            <v>Fátima León</v>
          </cell>
          <cell r="J109" t="str">
            <v>Fátima León</v>
          </cell>
          <cell r="K109" t="str">
            <v>VERONICA VALDEZ</v>
          </cell>
          <cell r="L109" t="str">
            <v>01</v>
          </cell>
          <cell r="M109">
            <v>554</v>
          </cell>
          <cell r="N109" t="str">
            <v>LIMA CENTRO</v>
          </cell>
          <cell r="O109" t="str">
            <v>FP</v>
          </cell>
          <cell r="P109" t="str">
            <v>Lima</v>
          </cell>
          <cell r="Q109" t="str">
            <v>Lima</v>
          </cell>
          <cell r="R109" t="str">
            <v>CINE RIMAC</v>
          </cell>
        </row>
        <row r="110">
          <cell r="A110" t="str">
            <v>P206</v>
          </cell>
          <cell r="B110" t="str">
            <v>PLAZA VEA SUPER</v>
          </cell>
          <cell r="C110" t="str">
            <v>Lima + Callao</v>
          </cell>
          <cell r="D110">
            <v>40877</v>
          </cell>
          <cell r="E110">
            <v>40877</v>
          </cell>
          <cell r="F110">
            <v>41244</v>
          </cell>
          <cell r="G110" t="str">
            <v>La Paz - PVS</v>
          </cell>
          <cell r="H110" t="str">
            <v>C1</v>
          </cell>
          <cell r="I110" t="str">
            <v>Fátima León</v>
          </cell>
          <cell r="J110" t="str">
            <v>Fátima León</v>
          </cell>
          <cell r="K110" t="str">
            <v>VERONICA VALDEZ</v>
          </cell>
          <cell r="L110" t="str">
            <v>01</v>
          </cell>
          <cell r="M110">
            <v>1138</v>
          </cell>
          <cell r="N110" t="str">
            <v>Lima Metrop Norte</v>
          </cell>
          <cell r="O110" t="str">
            <v>BC1</v>
          </cell>
          <cell r="P110" t="str">
            <v>Lima</v>
          </cell>
          <cell r="Q110" t="str">
            <v>Lima</v>
          </cell>
          <cell r="R110" t="str">
            <v>LA PAZ</v>
          </cell>
        </row>
        <row r="111">
          <cell r="A111" t="str">
            <v>P207</v>
          </cell>
          <cell r="B111" t="str">
            <v>PLAZA VEA SUPER</v>
          </cell>
          <cell r="C111" t="str">
            <v>Lima + Callao</v>
          </cell>
          <cell r="D111">
            <v>40873</v>
          </cell>
          <cell r="E111">
            <v>40873</v>
          </cell>
          <cell r="F111">
            <v>41244</v>
          </cell>
          <cell r="G111" t="str">
            <v>Villa Marina - PVS</v>
          </cell>
          <cell r="H111" t="str">
            <v>C1</v>
          </cell>
          <cell r="I111" t="str">
            <v>Fátima León</v>
          </cell>
          <cell r="J111" t="str">
            <v>Fátima León</v>
          </cell>
          <cell r="K111" t="str">
            <v>VERONICA VALDEZ</v>
          </cell>
          <cell r="L111" t="str">
            <v>01</v>
          </cell>
          <cell r="M111">
            <v>690</v>
          </cell>
          <cell r="N111" t="str">
            <v>Lima Cono Sur</v>
          </cell>
          <cell r="O111" t="str">
            <v>FP</v>
          </cell>
          <cell r="P111" t="str">
            <v>Lima</v>
          </cell>
          <cell r="Q111" t="str">
            <v>Lima</v>
          </cell>
          <cell r="R111" t="str">
            <v>VILLA MARINA</v>
          </cell>
        </row>
        <row r="112">
          <cell r="A112" t="str">
            <v>P193</v>
          </cell>
          <cell r="B112" t="str">
            <v>PLAZA VEA SUPER</v>
          </cell>
          <cell r="C112" t="str">
            <v>Provincia</v>
          </cell>
          <cell r="D112">
            <v>41314</v>
          </cell>
          <cell r="E112">
            <v>41314</v>
          </cell>
          <cell r="F112">
            <v>41699</v>
          </cell>
          <cell r="G112" t="str">
            <v>Trujillo Mansiche - PVS</v>
          </cell>
          <cell r="H112" t="str">
            <v>B1</v>
          </cell>
          <cell r="I112" t="str">
            <v>Fátima León</v>
          </cell>
          <cell r="J112" t="str">
            <v>Fátima León</v>
          </cell>
          <cell r="K112" t="str">
            <v>VERONICA VALDEZ</v>
          </cell>
          <cell r="L112" t="str">
            <v>01</v>
          </cell>
          <cell r="M112">
            <v>920</v>
          </cell>
          <cell r="N112" t="str">
            <v>Trujillo</v>
          </cell>
          <cell r="O112" t="str">
            <v>BC1</v>
          </cell>
          <cell r="P112" t="str">
            <v>La Libertad</v>
          </cell>
          <cell r="Q112" t="str">
            <v>Trujillo</v>
          </cell>
          <cell r="R112" t="str">
            <v>TRUJILLO MANSICHE</v>
          </cell>
        </row>
        <row r="113">
          <cell r="A113" t="str">
            <v>P156</v>
          </cell>
          <cell r="B113" t="str">
            <v>PLAZA VEA SUPER</v>
          </cell>
          <cell r="C113" t="str">
            <v>Provincia</v>
          </cell>
          <cell r="D113">
            <v>40884</v>
          </cell>
          <cell r="E113">
            <v>40884</v>
          </cell>
          <cell r="F113">
            <v>41275</v>
          </cell>
          <cell r="G113" t="str">
            <v>El Tambo Huancayo - PVS</v>
          </cell>
          <cell r="H113" t="str">
            <v>B1</v>
          </cell>
          <cell r="I113" t="str">
            <v>DANIEL RODRIGUEZ</v>
          </cell>
          <cell r="J113" t="str">
            <v>Hernán Perroni</v>
          </cell>
          <cell r="K113" t="str">
            <v>VERONICA VALDEZ</v>
          </cell>
          <cell r="L113" t="str">
            <v>01</v>
          </cell>
          <cell r="M113">
            <v>1302</v>
          </cell>
          <cell r="N113" t="str">
            <v>Resto Peru Norte</v>
          </cell>
          <cell r="O113" t="str">
            <v>BC2</v>
          </cell>
          <cell r="P113" t="str">
            <v>Junin</v>
          </cell>
          <cell r="Q113" t="str">
            <v>Huancayo</v>
          </cell>
          <cell r="R113" t="str">
            <v>EL TAMBO HUANCAYO</v>
          </cell>
        </row>
        <row r="114">
          <cell r="A114" t="str">
            <v>P107</v>
          </cell>
          <cell r="B114" t="str">
            <v>PLAZA VEA SUPER</v>
          </cell>
          <cell r="C114" t="str">
            <v>Lima + Callao</v>
          </cell>
          <cell r="D114">
            <v>39479</v>
          </cell>
          <cell r="E114">
            <v>39479</v>
          </cell>
          <cell r="F114">
            <v>39845</v>
          </cell>
          <cell r="G114" t="str">
            <v>Mercaderes - PVS</v>
          </cell>
          <cell r="H114" t="str">
            <v>B1</v>
          </cell>
          <cell r="I114" t="str">
            <v>DANIEL RODRIGUEZ</v>
          </cell>
          <cell r="J114" t="str">
            <v>Hernán Perroni</v>
          </cell>
          <cell r="K114" t="str">
            <v>VERONICA VALDEZ</v>
          </cell>
          <cell r="L114" t="str">
            <v>01</v>
          </cell>
          <cell r="M114">
            <v>1510</v>
          </cell>
          <cell r="N114" t="str">
            <v>Lima Metrop Oriente</v>
          </cell>
          <cell r="O114" t="str">
            <v>BC2</v>
          </cell>
          <cell r="P114" t="str">
            <v>Lima</v>
          </cell>
          <cell r="Q114" t="str">
            <v>Lima</v>
          </cell>
          <cell r="R114" t="str">
            <v>MERCADERES</v>
          </cell>
        </row>
        <row r="115">
          <cell r="A115" t="str">
            <v>P199</v>
          </cell>
          <cell r="B115" t="str">
            <v>PLAZA VEA SUPER</v>
          </cell>
          <cell r="C115" t="str">
            <v>Lima + Callao</v>
          </cell>
          <cell r="D115">
            <v>41271</v>
          </cell>
          <cell r="E115">
            <v>41944</v>
          </cell>
          <cell r="F115">
            <v>42309</v>
          </cell>
          <cell r="G115" t="str">
            <v>Grifo Kio - PVS</v>
          </cell>
          <cell r="H115" t="str">
            <v>A1</v>
          </cell>
          <cell r="I115" t="str">
            <v>DANIEL RODRIGUEZ</v>
          </cell>
          <cell r="J115" t="str">
            <v>Hernán Perroni</v>
          </cell>
          <cell r="K115" t="str">
            <v>VERONICA VALDEZ</v>
          </cell>
          <cell r="L115" t="str">
            <v>01</v>
          </cell>
          <cell r="M115">
            <v>790</v>
          </cell>
          <cell r="N115" t="str">
            <v>Lima Cono Sur</v>
          </cell>
          <cell r="O115" t="str">
            <v>K</v>
          </cell>
          <cell r="P115" t="str">
            <v>Lima</v>
          </cell>
          <cell r="Q115" t="str">
            <v>Lima</v>
          </cell>
          <cell r="R115" t="str">
            <v>GRIFO KIO</v>
          </cell>
        </row>
        <row r="116">
          <cell r="A116" t="str">
            <v>P110</v>
          </cell>
          <cell r="B116" t="str">
            <v>PLAZA VEA SUPER</v>
          </cell>
          <cell r="C116" t="str">
            <v>Lima + Callao</v>
          </cell>
          <cell r="D116">
            <v>39479</v>
          </cell>
          <cell r="E116">
            <v>39479</v>
          </cell>
          <cell r="F116">
            <v>39845</v>
          </cell>
          <cell r="G116" t="str">
            <v>Corpac - PVS</v>
          </cell>
          <cell r="H116" t="str">
            <v>A1</v>
          </cell>
          <cell r="I116" t="str">
            <v>DANIEL RODRIGUEZ</v>
          </cell>
          <cell r="J116" t="str">
            <v>Hernán Perroni</v>
          </cell>
          <cell r="K116" t="str">
            <v>VERONICA VALDEZ</v>
          </cell>
          <cell r="L116" t="str">
            <v>01</v>
          </cell>
          <cell r="M116">
            <v>651</v>
          </cell>
          <cell r="N116" t="str">
            <v>Lima Metrop Sur</v>
          </cell>
          <cell r="O116" t="str">
            <v>BC1</v>
          </cell>
          <cell r="P116" t="str">
            <v>Lima</v>
          </cell>
          <cell r="Q116" t="str">
            <v>Lima</v>
          </cell>
          <cell r="R116" t="str">
            <v>CORPAC</v>
          </cell>
        </row>
        <row r="117">
          <cell r="A117" t="str">
            <v>P010</v>
          </cell>
          <cell r="B117" t="str">
            <v>PLAZA VEA SUPER</v>
          </cell>
          <cell r="C117" t="str">
            <v>Lima + Callao</v>
          </cell>
          <cell r="D117">
            <v>38693</v>
          </cell>
          <cell r="E117">
            <v>38693</v>
          </cell>
          <cell r="F117">
            <v>39083</v>
          </cell>
          <cell r="G117" t="str">
            <v>Caminos del Inca - PVS</v>
          </cell>
          <cell r="H117" t="str">
            <v>A2</v>
          </cell>
          <cell r="I117" t="str">
            <v>DANIEL RODRIGUEZ</v>
          </cell>
          <cell r="J117" t="str">
            <v>Hernán Perroni</v>
          </cell>
          <cell r="K117" t="str">
            <v>VERONICA VALDEZ</v>
          </cell>
          <cell r="L117" t="str">
            <v>01</v>
          </cell>
          <cell r="M117">
            <v>3507</v>
          </cell>
          <cell r="N117" t="str">
            <v>Lima Metrop Oriente</v>
          </cell>
          <cell r="O117" t="str">
            <v>A3</v>
          </cell>
          <cell r="P117" t="str">
            <v>Lima</v>
          </cell>
          <cell r="Q117" t="str">
            <v>Lima</v>
          </cell>
          <cell r="R117" t="str">
            <v>CAMINOS DEL INCA</v>
          </cell>
        </row>
        <row r="118">
          <cell r="A118" t="str">
            <v>P139</v>
          </cell>
          <cell r="B118" t="str">
            <v>PLAZA VEA SUPER</v>
          </cell>
          <cell r="C118" t="str">
            <v>Lima + Callao</v>
          </cell>
          <cell r="D118">
            <v>40072</v>
          </cell>
          <cell r="E118">
            <v>40072</v>
          </cell>
          <cell r="F118">
            <v>40452</v>
          </cell>
          <cell r="G118" t="str">
            <v>Alameda Sur - PVS</v>
          </cell>
          <cell r="H118" t="str">
            <v>A2</v>
          </cell>
          <cell r="I118" t="str">
            <v>DANIEL RODRIGUEZ</v>
          </cell>
          <cell r="J118" t="str">
            <v>Hernán Perroni</v>
          </cell>
          <cell r="K118" t="str">
            <v>VERONICA VALDEZ</v>
          </cell>
          <cell r="L118" t="str">
            <v>01</v>
          </cell>
          <cell r="M118">
            <v>1684</v>
          </cell>
          <cell r="N118" t="str">
            <v>Lima Cono Sur</v>
          </cell>
          <cell r="O118" t="str">
            <v>BC2</v>
          </cell>
          <cell r="P118" t="str">
            <v>Lima</v>
          </cell>
          <cell r="Q118" t="str">
            <v>Lima</v>
          </cell>
          <cell r="R118" t="str">
            <v>ALAMEDA SUR</v>
          </cell>
        </row>
        <row r="119">
          <cell r="A119" t="str">
            <v>P096</v>
          </cell>
          <cell r="B119" t="str">
            <v>PLAZA VEA SUPER</v>
          </cell>
          <cell r="C119" t="str">
            <v>Lima + Callao</v>
          </cell>
          <cell r="D119">
            <v>38749</v>
          </cell>
          <cell r="E119">
            <v>38749</v>
          </cell>
          <cell r="F119">
            <v>39114</v>
          </cell>
          <cell r="G119" t="str">
            <v>San Jorge - PVS</v>
          </cell>
          <cell r="H119" t="str">
            <v>B2</v>
          </cell>
          <cell r="I119" t="str">
            <v>DANIEL RODRIGUEZ</v>
          </cell>
          <cell r="J119" t="str">
            <v>Hernán Perroni</v>
          </cell>
          <cell r="K119" t="str">
            <v>VERONICA VALDEZ</v>
          </cell>
          <cell r="L119" t="str">
            <v>01</v>
          </cell>
          <cell r="M119">
            <v>1431</v>
          </cell>
          <cell r="N119" t="str">
            <v>Lima Metrop Oriente</v>
          </cell>
          <cell r="O119" t="str">
            <v>BC2</v>
          </cell>
          <cell r="P119" t="str">
            <v>Lima</v>
          </cell>
          <cell r="Q119" t="str">
            <v>Lima</v>
          </cell>
          <cell r="R119" t="str">
            <v>SAN JORGE</v>
          </cell>
        </row>
        <row r="120">
          <cell r="A120" t="str">
            <v>P216</v>
          </cell>
          <cell r="B120" t="str">
            <v>PLAZA VEA SUPER</v>
          </cell>
          <cell r="C120" t="str">
            <v>Lima + Callao</v>
          </cell>
          <cell r="D120">
            <v>41460</v>
          </cell>
          <cell r="E120">
            <v>41460</v>
          </cell>
          <cell r="F120">
            <v>41852</v>
          </cell>
          <cell r="G120" t="str">
            <v>Proceres - PVS</v>
          </cell>
          <cell r="H120" t="str">
            <v>C1</v>
          </cell>
          <cell r="I120" t="str">
            <v>DANIEL RODRIGUEZ</v>
          </cell>
          <cell r="J120" t="str">
            <v>Hernán Perroni</v>
          </cell>
          <cell r="K120" t="str">
            <v>VERONICA VALDEZ</v>
          </cell>
          <cell r="L120" t="str">
            <v>01</v>
          </cell>
          <cell r="M120">
            <v>901</v>
          </cell>
          <cell r="N120" t="str">
            <v>Lima Oriente</v>
          </cell>
          <cell r="O120" t="str">
            <v>BC1</v>
          </cell>
          <cell r="P120" t="str">
            <v>Lima</v>
          </cell>
          <cell r="Q120" t="str">
            <v>Lima</v>
          </cell>
          <cell r="R120" t="str">
            <v>PROCERES</v>
          </cell>
        </row>
        <row r="121">
          <cell r="A121" t="str">
            <v>P258</v>
          </cell>
          <cell r="B121" t="str">
            <v>PLAZA VEA SUPER</v>
          </cell>
          <cell r="C121" t="str">
            <v>Lima + Callao</v>
          </cell>
          <cell r="D121">
            <v>42314</v>
          </cell>
          <cell r="E121">
            <v>42314</v>
          </cell>
          <cell r="G121" t="str">
            <v>Chaclacayo - PVS</v>
          </cell>
          <cell r="H121" t="str">
            <v>C1</v>
          </cell>
          <cell r="I121" t="str">
            <v>DANIEL RODRIGUEZ</v>
          </cell>
          <cell r="J121" t="str">
            <v>Hernán Perroni</v>
          </cell>
          <cell r="K121" t="str">
            <v>VERONICA VALDEZ</v>
          </cell>
          <cell r="L121" t="str">
            <v>02</v>
          </cell>
          <cell r="M121">
            <v>749</v>
          </cell>
          <cell r="N121" t="str">
            <v>Lima Oriente</v>
          </cell>
          <cell r="O121" t="str">
            <v>BC1</v>
          </cell>
          <cell r="P121" t="str">
            <v>Lima</v>
          </cell>
          <cell r="Q121" t="str">
            <v>Lima</v>
          </cell>
          <cell r="R121" t="str">
            <v>CHACLACAYO</v>
          </cell>
        </row>
        <row r="122">
          <cell r="A122" t="str">
            <v>P215</v>
          </cell>
          <cell r="B122" t="str">
            <v>PLAZA VEA SUPER</v>
          </cell>
          <cell r="C122" t="str">
            <v>Lima + Callao</v>
          </cell>
          <cell r="D122">
            <v>41480</v>
          </cell>
          <cell r="E122">
            <v>41480</v>
          </cell>
          <cell r="F122">
            <v>41852</v>
          </cell>
          <cell r="G122" t="str">
            <v>Magdalena - PVS</v>
          </cell>
          <cell r="H122" t="str">
            <v>C1</v>
          </cell>
          <cell r="I122" t="str">
            <v>DANIEL RODRIGUEZ</v>
          </cell>
          <cell r="J122" t="str">
            <v>Hernán Perroni</v>
          </cell>
          <cell r="K122" t="str">
            <v>VERONICA VALDEZ</v>
          </cell>
          <cell r="L122" t="str">
            <v>01</v>
          </cell>
          <cell r="M122">
            <v>504</v>
          </cell>
          <cell r="N122" t="str">
            <v>Lima Metrop Norte</v>
          </cell>
          <cell r="O122" t="str">
            <v>BC1</v>
          </cell>
          <cell r="P122" t="str">
            <v>Lima</v>
          </cell>
          <cell r="Q122" t="str">
            <v>Lima</v>
          </cell>
          <cell r="R122" t="str">
            <v>MAGDALENA</v>
          </cell>
        </row>
        <row r="123">
          <cell r="A123" t="str">
            <v>P105</v>
          </cell>
          <cell r="B123" t="str">
            <v>PLAZA VEA SUPER</v>
          </cell>
          <cell r="C123" t="str">
            <v>Lima + Callao</v>
          </cell>
          <cell r="D123">
            <v>39479</v>
          </cell>
          <cell r="E123">
            <v>39479</v>
          </cell>
          <cell r="F123">
            <v>39845</v>
          </cell>
          <cell r="G123" t="str">
            <v>Salamanca - PVS</v>
          </cell>
          <cell r="H123" t="str">
            <v>B1</v>
          </cell>
          <cell r="I123" t="str">
            <v>DANIEL RODRIGUEZ</v>
          </cell>
          <cell r="J123" t="str">
            <v>Hernán Perroni</v>
          </cell>
          <cell r="K123" t="str">
            <v>VERONICA VALDEZ</v>
          </cell>
          <cell r="L123" t="str">
            <v>01</v>
          </cell>
          <cell r="M123">
            <v>1247</v>
          </cell>
          <cell r="N123" t="str">
            <v>Lima Oriente</v>
          </cell>
          <cell r="O123" t="str">
            <v>BC2</v>
          </cell>
          <cell r="P123" t="str">
            <v>Lima</v>
          </cell>
          <cell r="Q123" t="str">
            <v>Lima</v>
          </cell>
          <cell r="R123" t="str">
            <v>SALAMANCA</v>
          </cell>
        </row>
        <row r="124">
          <cell r="A124" t="str">
            <v>P109</v>
          </cell>
          <cell r="B124" t="str">
            <v>PLAZA VEA SUPER</v>
          </cell>
          <cell r="C124" t="str">
            <v>Lima + Callao</v>
          </cell>
          <cell r="D124">
            <v>39479</v>
          </cell>
          <cell r="E124">
            <v>39479</v>
          </cell>
          <cell r="F124">
            <v>39845</v>
          </cell>
          <cell r="G124" t="str">
            <v>Dasso - PVS</v>
          </cell>
          <cell r="H124" t="str">
            <v>A2</v>
          </cell>
          <cell r="I124" t="str">
            <v>DANIEL RODRIGUEZ</v>
          </cell>
          <cell r="J124" t="str">
            <v>Hernán Perroni</v>
          </cell>
          <cell r="K124" t="str">
            <v>VERONICA VALDEZ</v>
          </cell>
          <cell r="L124" t="str">
            <v>01</v>
          </cell>
          <cell r="M124">
            <v>1680</v>
          </cell>
          <cell r="N124" t="str">
            <v>Lima Metrop Sur</v>
          </cell>
          <cell r="O124" t="str">
            <v>A2</v>
          </cell>
          <cell r="P124" t="str">
            <v>Lima</v>
          </cell>
          <cell r="Q124" t="str">
            <v>Lima</v>
          </cell>
          <cell r="R124" t="str">
            <v>DASSO</v>
          </cell>
        </row>
        <row r="125">
          <cell r="A125" t="str">
            <v>P158</v>
          </cell>
          <cell r="B125" t="str">
            <v>PLAZA VEA SUPER</v>
          </cell>
          <cell r="C125" t="str">
            <v>Lima + Callao</v>
          </cell>
          <cell r="D125">
            <v>40896</v>
          </cell>
          <cell r="E125">
            <v>40896</v>
          </cell>
          <cell r="F125">
            <v>41275</v>
          </cell>
          <cell r="G125" t="str">
            <v>Villa el Salvador - PVS</v>
          </cell>
          <cell r="H125" t="str">
            <v>C2</v>
          </cell>
          <cell r="I125" t="str">
            <v>DANIEL RODRIGUEZ</v>
          </cell>
          <cell r="J125" t="str">
            <v>Hernán Perroni</v>
          </cell>
          <cell r="K125" t="str">
            <v>VERONICA VALDEZ</v>
          </cell>
          <cell r="L125" t="str">
            <v>01</v>
          </cell>
          <cell r="M125">
            <v>1330</v>
          </cell>
          <cell r="N125" t="str">
            <v>Lima Cono Sur</v>
          </cell>
          <cell r="O125" t="str">
            <v>BC2</v>
          </cell>
          <cell r="P125" t="str">
            <v>Lima</v>
          </cell>
          <cell r="Q125" t="str">
            <v>Lima</v>
          </cell>
          <cell r="R125" t="str">
            <v>VILLA EL SALVADOR</v>
          </cell>
        </row>
        <row r="126">
          <cell r="A126" t="str">
            <v>P108</v>
          </cell>
          <cell r="B126" t="str">
            <v>PLAZA VEA SUPER</v>
          </cell>
          <cell r="C126" t="str">
            <v>Lima + Callao</v>
          </cell>
          <cell r="D126">
            <v>39479</v>
          </cell>
          <cell r="E126">
            <v>39479</v>
          </cell>
          <cell r="F126">
            <v>39845</v>
          </cell>
          <cell r="G126" t="str">
            <v>Ayacucho - PVS</v>
          </cell>
          <cell r="H126" t="str">
            <v>B1</v>
          </cell>
          <cell r="I126" t="str">
            <v>DANIEL RODRIGUEZ</v>
          </cell>
          <cell r="J126" t="str">
            <v>Hernán Perroni</v>
          </cell>
          <cell r="K126" t="str">
            <v>VERONICA VALDEZ</v>
          </cell>
          <cell r="L126" t="str">
            <v>01</v>
          </cell>
          <cell r="M126">
            <v>1345</v>
          </cell>
          <cell r="N126" t="str">
            <v>Lima Metrop Oriente</v>
          </cell>
          <cell r="O126" t="str">
            <v>BC2</v>
          </cell>
          <cell r="P126" t="str">
            <v>Lima</v>
          </cell>
          <cell r="Q126" t="str">
            <v>Lima</v>
          </cell>
          <cell r="R126" t="str">
            <v>AYACUCHO</v>
          </cell>
        </row>
        <row r="127">
          <cell r="A127" t="str">
            <v>P178</v>
          </cell>
          <cell r="B127" t="str">
            <v>PLAZA VEA SUPER</v>
          </cell>
          <cell r="C127" t="str">
            <v>Provincia</v>
          </cell>
          <cell r="D127">
            <v>40873</v>
          </cell>
          <cell r="E127">
            <v>40873</v>
          </cell>
          <cell r="F127">
            <v>41244</v>
          </cell>
          <cell r="G127" t="str">
            <v>Multiplaza - PVS</v>
          </cell>
          <cell r="H127" t="str">
            <v>B1</v>
          </cell>
          <cell r="I127" t="str">
            <v>Melany Alvarado</v>
          </cell>
          <cell r="J127" t="str">
            <v>Sofía Villanueva</v>
          </cell>
          <cell r="K127" t="str">
            <v>Sergio Agnello</v>
          </cell>
          <cell r="L127" t="str">
            <v>01</v>
          </cell>
          <cell r="M127">
            <v>940</v>
          </cell>
          <cell r="N127" t="str">
            <v>Piura</v>
          </cell>
          <cell r="O127" t="str">
            <v>BC1</v>
          </cell>
          <cell r="P127" t="str">
            <v>Piura</v>
          </cell>
          <cell r="Q127" t="str">
            <v>Piura</v>
          </cell>
          <cell r="R127" t="str">
            <v>MULTIPLAZA</v>
          </cell>
        </row>
        <row r="128">
          <cell r="A128" t="str">
            <v>V151</v>
          </cell>
          <cell r="B128" t="str">
            <v>VIVANDA</v>
          </cell>
          <cell r="C128" t="str">
            <v>Lima + Callao</v>
          </cell>
          <cell r="D128">
            <v>40611</v>
          </cell>
          <cell r="E128">
            <v>40611</v>
          </cell>
          <cell r="F128">
            <v>41000</v>
          </cell>
          <cell r="G128" t="str">
            <v>La Molina VIV</v>
          </cell>
          <cell r="H128" t="str">
            <v>V1</v>
          </cell>
          <cell r="K128" t="str">
            <v>-</v>
          </cell>
          <cell r="L128" t="str">
            <v>01</v>
          </cell>
          <cell r="M128">
            <v>1097.82</v>
          </cell>
          <cell r="N128" t="str">
            <v>Lima Metrop Oriente</v>
          </cell>
          <cell r="P128" t="str">
            <v>Lima</v>
          </cell>
          <cell r="R128" t="str">
            <v>LA MOLINA VIV</v>
          </cell>
        </row>
        <row r="129">
          <cell r="A129" t="str">
            <v>V094</v>
          </cell>
          <cell r="B129" t="str">
            <v>VIVANDA</v>
          </cell>
          <cell r="C129" t="str">
            <v>Lima + Callao</v>
          </cell>
          <cell r="D129">
            <v>38633</v>
          </cell>
          <cell r="E129">
            <v>38633</v>
          </cell>
          <cell r="F129">
            <v>39022</v>
          </cell>
          <cell r="G129" t="str">
            <v>Benavides - VIV</v>
          </cell>
          <cell r="H129" t="str">
            <v>V1</v>
          </cell>
          <cell r="I129" t="str">
            <v>María Rojas</v>
          </cell>
          <cell r="J129" t="str">
            <v>María Rojas</v>
          </cell>
          <cell r="K129" t="str">
            <v>VERONICA VALDEZ</v>
          </cell>
          <cell r="L129" t="str">
            <v>01</v>
          </cell>
          <cell r="M129">
            <v>1238</v>
          </cell>
          <cell r="N129" t="str">
            <v>Lima Metrop Sur</v>
          </cell>
          <cell r="O129" t="str">
            <v>A1</v>
          </cell>
          <cell r="P129" t="str">
            <v>Lima</v>
          </cell>
          <cell r="Q129" t="str">
            <v>Lima</v>
          </cell>
          <cell r="R129" t="str">
            <v>BENAVIDES</v>
          </cell>
        </row>
        <row r="130">
          <cell r="A130" t="str">
            <v>V254</v>
          </cell>
          <cell r="B130" t="str">
            <v>VIVANDA</v>
          </cell>
          <cell r="C130" t="str">
            <v>Lima + Callao</v>
          </cell>
          <cell r="D130">
            <v>43630</v>
          </cell>
          <cell r="E130">
            <v>43630</v>
          </cell>
          <cell r="F130">
            <v>44013</v>
          </cell>
          <cell r="G130" t="str">
            <v>Destinos al Sabor - VIV</v>
          </cell>
          <cell r="H130" t="str">
            <v>V4</v>
          </cell>
          <cell r="I130" t="str">
            <v>María Rojas</v>
          </cell>
          <cell r="J130" t="str">
            <v>María Rojas</v>
          </cell>
          <cell r="K130" t="str">
            <v>Sergio Agnello</v>
          </cell>
          <cell r="L130" t="str">
            <v>02</v>
          </cell>
          <cell r="M130">
            <v>1</v>
          </cell>
          <cell r="N130" t="str">
            <v>Lima Metrop Sur</v>
          </cell>
          <cell r="O130" t="str">
            <v>V4</v>
          </cell>
          <cell r="P130" t="str">
            <v>Lima</v>
          </cell>
          <cell r="Q130" t="str">
            <v>Lima</v>
          </cell>
          <cell r="R130" t="str">
            <v>DESTINOS AL SABOR</v>
          </cell>
        </row>
        <row r="131">
          <cell r="A131" t="str">
            <v>V116</v>
          </cell>
          <cell r="B131" t="str">
            <v>VIVANDA</v>
          </cell>
          <cell r="C131" t="str">
            <v>Lima + Callao</v>
          </cell>
          <cell r="D131">
            <v>39622</v>
          </cell>
          <cell r="E131">
            <v>39622</v>
          </cell>
          <cell r="F131">
            <v>39995</v>
          </cell>
          <cell r="G131" t="str">
            <v>Javier Prado - VIV</v>
          </cell>
          <cell r="H131" t="str">
            <v>V1</v>
          </cell>
          <cell r="I131" t="str">
            <v>María Rojas</v>
          </cell>
          <cell r="J131" t="str">
            <v>María Rojas</v>
          </cell>
          <cell r="K131" t="str">
            <v>VERONICA VALDEZ</v>
          </cell>
          <cell r="L131" t="str">
            <v>01</v>
          </cell>
          <cell r="M131">
            <v>1152</v>
          </cell>
          <cell r="N131" t="str">
            <v>Lima Metrop Norte</v>
          </cell>
          <cell r="O131" t="str">
            <v>A1</v>
          </cell>
          <cell r="P131" t="str">
            <v>Lima</v>
          </cell>
          <cell r="Q131" t="str">
            <v>Lima</v>
          </cell>
          <cell r="R131" t="str">
            <v>JAVIER PRADO</v>
          </cell>
        </row>
        <row r="132">
          <cell r="A132" t="str">
            <v>V019</v>
          </cell>
          <cell r="B132" t="str">
            <v>VIVANDA</v>
          </cell>
          <cell r="C132" t="str">
            <v>Lima + Callao</v>
          </cell>
          <cell r="D132">
            <v>38700</v>
          </cell>
          <cell r="E132">
            <v>38700</v>
          </cell>
          <cell r="F132">
            <v>39083</v>
          </cell>
          <cell r="G132" t="str">
            <v>Pardo - VIV</v>
          </cell>
          <cell r="H132" t="str">
            <v>V1</v>
          </cell>
          <cell r="I132" t="str">
            <v>María Rojas</v>
          </cell>
          <cell r="J132" t="str">
            <v>María Rojas</v>
          </cell>
          <cell r="K132" t="str">
            <v>VERONICA VALDEZ</v>
          </cell>
          <cell r="L132" t="str">
            <v>01</v>
          </cell>
          <cell r="M132">
            <v>1111</v>
          </cell>
          <cell r="N132" t="str">
            <v>Lima Metrop Sur</v>
          </cell>
          <cell r="P132" t="str">
            <v>Lima</v>
          </cell>
          <cell r="Q132" t="str">
            <v>Lima</v>
          </cell>
          <cell r="R132" t="str">
            <v>PARDO</v>
          </cell>
        </row>
        <row r="133">
          <cell r="A133" t="str">
            <v>V090</v>
          </cell>
          <cell r="B133" t="str">
            <v>VIVANDA</v>
          </cell>
          <cell r="C133" t="str">
            <v>Lima + Callao</v>
          </cell>
          <cell r="D133">
            <v>38574</v>
          </cell>
          <cell r="E133">
            <v>38574</v>
          </cell>
          <cell r="F133">
            <v>38961</v>
          </cell>
          <cell r="G133" t="str">
            <v>Pezet - VIV</v>
          </cell>
          <cell r="H133" t="str">
            <v>V1</v>
          </cell>
          <cell r="I133" t="str">
            <v>María Rojas</v>
          </cell>
          <cell r="J133" t="str">
            <v>María Rojas</v>
          </cell>
          <cell r="K133" t="str">
            <v>VERONICA VALDEZ</v>
          </cell>
          <cell r="L133" t="str">
            <v>01</v>
          </cell>
          <cell r="M133">
            <v>920</v>
          </cell>
          <cell r="N133" t="str">
            <v>Lima Metrop Sur</v>
          </cell>
          <cell r="O133" t="str">
            <v>A1</v>
          </cell>
          <cell r="P133" t="str">
            <v>Lima</v>
          </cell>
          <cell r="Q133" t="str">
            <v>Lima</v>
          </cell>
          <cell r="R133" t="str">
            <v>PEZET</v>
          </cell>
        </row>
        <row r="134">
          <cell r="A134" t="str">
            <v>V140</v>
          </cell>
          <cell r="B134" t="str">
            <v>VIVANDA</v>
          </cell>
          <cell r="C134" t="str">
            <v>Lima + Callao</v>
          </cell>
          <cell r="D134">
            <v>40122</v>
          </cell>
          <cell r="E134">
            <v>40122</v>
          </cell>
          <cell r="F134">
            <v>40513</v>
          </cell>
          <cell r="G134" t="str">
            <v>Libertadores - VIV</v>
          </cell>
          <cell r="H134" t="str">
            <v>V1</v>
          </cell>
          <cell r="I134" t="str">
            <v>María Rojas</v>
          </cell>
          <cell r="J134" t="str">
            <v>María Rojas</v>
          </cell>
          <cell r="K134" t="str">
            <v>VERONICA VALDEZ</v>
          </cell>
          <cell r="L134" t="str">
            <v>01</v>
          </cell>
          <cell r="M134">
            <v>1167</v>
          </cell>
          <cell r="N134" t="str">
            <v>Lima Metrop Sur</v>
          </cell>
          <cell r="O134" t="str">
            <v>A1</v>
          </cell>
          <cell r="P134" t="str">
            <v>Lima</v>
          </cell>
          <cell r="Q134" t="str">
            <v>Lima</v>
          </cell>
          <cell r="R134" t="str">
            <v>LIBERTADORES</v>
          </cell>
        </row>
        <row r="135">
          <cell r="A135" t="str">
            <v>V095</v>
          </cell>
          <cell r="B135" t="str">
            <v>VIVANDA</v>
          </cell>
          <cell r="C135" t="str">
            <v>Lima + Callao</v>
          </cell>
          <cell r="D135">
            <v>38644</v>
          </cell>
          <cell r="E135">
            <v>38644</v>
          </cell>
          <cell r="F135">
            <v>39022</v>
          </cell>
          <cell r="G135" t="str">
            <v>Monterrico - VIV</v>
          </cell>
          <cell r="H135" t="str">
            <v>V1</v>
          </cell>
          <cell r="I135" t="str">
            <v>María Rojas</v>
          </cell>
          <cell r="J135" t="str">
            <v>María Rojas</v>
          </cell>
          <cell r="K135" t="str">
            <v>VERONICA VALDEZ</v>
          </cell>
          <cell r="L135" t="str">
            <v>01</v>
          </cell>
          <cell r="M135">
            <v>918</v>
          </cell>
          <cell r="N135" t="str">
            <v>Lima Metrop Oriente</v>
          </cell>
          <cell r="O135" t="str">
            <v>A1</v>
          </cell>
          <cell r="P135" t="str">
            <v>Lima</v>
          </cell>
          <cell r="Q135" t="str">
            <v>Lima</v>
          </cell>
          <cell r="R135" t="str">
            <v>MONTERRICO</v>
          </cell>
        </row>
        <row r="136">
          <cell r="A136" t="str">
            <v>V093</v>
          </cell>
          <cell r="B136" t="str">
            <v>VIVANDA</v>
          </cell>
          <cell r="C136" t="str">
            <v>Lima + Callao</v>
          </cell>
          <cell r="D136">
            <v>38633</v>
          </cell>
          <cell r="E136">
            <v>38633</v>
          </cell>
          <cell r="F136">
            <v>39022</v>
          </cell>
          <cell r="G136" t="str">
            <v>Dos de Mayo - VIV</v>
          </cell>
          <cell r="H136" t="str">
            <v>V1</v>
          </cell>
          <cell r="I136" t="str">
            <v>María Rojas</v>
          </cell>
          <cell r="J136" t="str">
            <v>María Rojas</v>
          </cell>
          <cell r="K136" t="str">
            <v>VERONICA VALDEZ</v>
          </cell>
          <cell r="L136" t="str">
            <v>01</v>
          </cell>
          <cell r="M136">
            <v>1184</v>
          </cell>
          <cell r="N136" t="str">
            <v>Lima Metrop Sur</v>
          </cell>
          <cell r="O136" t="str">
            <v>A1</v>
          </cell>
          <cell r="P136" t="str">
            <v>Lima</v>
          </cell>
          <cell r="Q136" t="str">
            <v>Lima</v>
          </cell>
          <cell r="R136" t="str">
            <v>DOS DE MAYO</v>
          </cell>
        </row>
        <row r="137">
          <cell r="A137" t="str">
            <v>V290</v>
          </cell>
          <cell r="B137" t="str">
            <v>VIVANDA</v>
          </cell>
          <cell r="C137" t="str">
            <v>Lima + Callao</v>
          </cell>
          <cell r="D137">
            <v>43817</v>
          </cell>
          <cell r="E137">
            <v>43817</v>
          </cell>
          <cell r="F137">
            <v>44197</v>
          </cell>
          <cell r="G137" t="str">
            <v>Asia - VIV</v>
          </cell>
          <cell r="H137" t="str">
            <v>V2</v>
          </cell>
          <cell r="I137" t="str">
            <v>María Rojas</v>
          </cell>
          <cell r="J137" t="str">
            <v>María Rojas</v>
          </cell>
          <cell r="K137" t="str">
            <v>VERONICA VALDEZ</v>
          </cell>
          <cell r="L137" t="str">
            <v>02</v>
          </cell>
          <cell r="M137">
            <v>2298</v>
          </cell>
          <cell r="N137" t="str">
            <v>Resto Peru Sur</v>
          </cell>
          <cell r="O137" t="str">
            <v>V2</v>
          </cell>
          <cell r="P137" t="str">
            <v>Lima</v>
          </cell>
          <cell r="Q137" t="str">
            <v>Cañete</v>
          </cell>
          <cell r="R137" t="str">
            <v>ASIA</v>
          </cell>
        </row>
        <row r="138">
          <cell r="A138" t="str">
            <v>P138</v>
          </cell>
          <cell r="B138" t="str">
            <v>PLAZA VEA EXPRESS</v>
          </cell>
          <cell r="C138" t="str">
            <v>Lima + Callao</v>
          </cell>
          <cell r="D138">
            <v>40542</v>
          </cell>
          <cell r="E138">
            <v>40542</v>
          </cell>
          <cell r="F138">
            <v>40909</v>
          </cell>
          <cell r="G138" t="str">
            <v>Jiron de la Union - PVE</v>
          </cell>
          <cell r="H138" t="str">
            <v>EX</v>
          </cell>
          <cell r="I138" t="str">
            <v>Fátima León</v>
          </cell>
          <cell r="J138" t="str">
            <v>Fátima León</v>
          </cell>
          <cell r="K138" t="str">
            <v>VERONICA VALDEZ</v>
          </cell>
          <cell r="L138" t="str">
            <v>01</v>
          </cell>
          <cell r="M138">
            <v>1571</v>
          </cell>
          <cell r="N138" t="str">
            <v>Lima Centro</v>
          </cell>
          <cell r="O138" t="str">
            <v>FP</v>
          </cell>
          <cell r="P138" t="str">
            <v>Lima</v>
          </cell>
          <cell r="Q138" t="str">
            <v>Lima</v>
          </cell>
          <cell r="R138" t="str">
            <v>JIRON DE LA UNION</v>
          </cell>
        </row>
        <row r="139">
          <cell r="A139" t="str">
            <v>P181</v>
          </cell>
          <cell r="B139" t="str">
            <v>PLAZA VEA EXPRESS</v>
          </cell>
          <cell r="C139" t="str">
            <v>Provincia</v>
          </cell>
          <cell r="D139">
            <v>40943</v>
          </cell>
          <cell r="E139">
            <v>40943</v>
          </cell>
          <cell r="F139">
            <v>41334</v>
          </cell>
          <cell r="G139" t="str">
            <v>Supermercados SKA - PVE</v>
          </cell>
          <cell r="H139" t="str">
            <v>EX</v>
          </cell>
          <cell r="I139" t="str">
            <v>Fátima León</v>
          </cell>
          <cell r="J139" t="str">
            <v>Fátima León</v>
          </cell>
          <cell r="K139" t="str">
            <v>VERONICA VALDEZ</v>
          </cell>
          <cell r="L139" t="str">
            <v>01</v>
          </cell>
          <cell r="M139">
            <v>400</v>
          </cell>
          <cell r="N139" t="str">
            <v>Chimbote</v>
          </cell>
          <cell r="O139" t="str">
            <v>FP</v>
          </cell>
          <cell r="P139" t="str">
            <v>Ancash</v>
          </cell>
          <cell r="Q139" t="str">
            <v>Santa</v>
          </cell>
          <cell r="R139" t="str">
            <v>SUPERMERCADOS SKA</v>
          </cell>
        </row>
        <row r="140">
          <cell r="A140" t="str">
            <v>X210</v>
          </cell>
          <cell r="B140" t="str">
            <v>PLAZA VEA EXPRESS</v>
          </cell>
          <cell r="C140" t="str">
            <v>Lima + Callao</v>
          </cell>
          <cell r="D140">
            <v>39049</v>
          </cell>
          <cell r="E140">
            <v>39049</v>
          </cell>
          <cell r="F140">
            <v>39417</v>
          </cell>
          <cell r="G140" t="str">
            <v>Santa Cruz - PVE</v>
          </cell>
          <cell r="H140" t="str">
            <v>EX</v>
          </cell>
          <cell r="I140" t="str">
            <v>Fátima León</v>
          </cell>
          <cell r="J140" t="str">
            <v>Fátima León</v>
          </cell>
          <cell r="K140" t="str">
            <v>VERONICA VALDEZ</v>
          </cell>
          <cell r="L140" t="str">
            <v>01</v>
          </cell>
          <cell r="M140">
            <v>293</v>
          </cell>
          <cell r="N140" t="str">
            <v>Lima Metrop Sur</v>
          </cell>
          <cell r="O140" t="str">
            <v>FP</v>
          </cell>
          <cell r="P140" t="str">
            <v>Lima</v>
          </cell>
          <cell r="Q140" t="str">
            <v>Lima</v>
          </cell>
          <cell r="R140" t="str">
            <v>SANTA CRUZ</v>
          </cell>
        </row>
        <row r="141">
          <cell r="A141" t="str">
            <v>P180</v>
          </cell>
          <cell r="B141" t="str">
            <v>PLAZA VEA EXPRESS</v>
          </cell>
          <cell r="C141" t="str">
            <v>Provincia</v>
          </cell>
          <cell r="D141">
            <v>41001</v>
          </cell>
          <cell r="E141">
            <v>41001</v>
          </cell>
          <cell r="F141">
            <v>41395</v>
          </cell>
          <cell r="G141" t="str">
            <v>Centro Trujillo - PVE</v>
          </cell>
          <cell r="H141" t="str">
            <v>EX</v>
          </cell>
          <cell r="I141" t="str">
            <v>Fátima León</v>
          </cell>
          <cell r="J141" t="str">
            <v>Fátima León</v>
          </cell>
          <cell r="K141" t="str">
            <v>VERONICA VALDEZ</v>
          </cell>
          <cell r="L141" t="str">
            <v>01</v>
          </cell>
          <cell r="M141">
            <v>486</v>
          </cell>
          <cell r="N141" t="str">
            <v>Trujillo</v>
          </cell>
          <cell r="O141" t="str">
            <v>FP</v>
          </cell>
          <cell r="P141" t="str">
            <v>La Libertad</v>
          </cell>
          <cell r="Q141" t="str">
            <v>Trujillo</v>
          </cell>
          <cell r="R141" t="str">
            <v>CENTRO TRUJILLO</v>
          </cell>
        </row>
        <row r="142">
          <cell r="A142" t="str">
            <v>X209</v>
          </cell>
          <cell r="B142" t="str">
            <v>PLAZA VEA EXPRESS</v>
          </cell>
          <cell r="C142" t="str">
            <v>Lima + Callao</v>
          </cell>
          <cell r="D142">
            <v>36996</v>
          </cell>
          <cell r="E142">
            <v>36996</v>
          </cell>
          <cell r="F142">
            <v>37377</v>
          </cell>
          <cell r="G142" t="str">
            <v>Bolognesi - PVE</v>
          </cell>
          <cell r="H142" t="str">
            <v>EX</v>
          </cell>
          <cell r="I142" t="str">
            <v>Fátima León</v>
          </cell>
          <cell r="J142" t="str">
            <v>Fátima León</v>
          </cell>
          <cell r="K142" t="str">
            <v>VERONICA VALDEZ</v>
          </cell>
          <cell r="L142" t="str">
            <v>01</v>
          </cell>
          <cell r="M142">
            <v>343</v>
          </cell>
          <cell r="N142" t="str">
            <v>Lima Metrop Norte</v>
          </cell>
          <cell r="O142" t="str">
            <v>FP</v>
          </cell>
          <cell r="P142" t="str">
            <v>Lima</v>
          </cell>
          <cell r="Q142" t="str">
            <v>Lima</v>
          </cell>
          <cell r="R142" t="str">
            <v>BOLOGNESI</v>
          </cell>
        </row>
        <row r="143">
          <cell r="A143" t="str">
            <v>M-475</v>
          </cell>
          <cell r="B143" t="str">
            <v>PLAZA VEA</v>
          </cell>
          <cell r="C143" t="str">
            <v>Lima + Callao</v>
          </cell>
          <cell r="D143">
            <v>44953</v>
          </cell>
          <cell r="G143" t="str">
            <v>Aventura SJL - PVH</v>
          </cell>
          <cell r="M143">
            <v>1</v>
          </cell>
          <cell r="O143" t="str">
            <v>BC2</v>
          </cell>
          <cell r="R143" t="str">
            <v>AVENTURA SJL</v>
          </cell>
        </row>
        <row r="144">
          <cell r="A144" t="str">
            <v>1199</v>
          </cell>
          <cell r="B144" t="str">
            <v>PLAZA VEA</v>
          </cell>
          <cell r="C144" t="str">
            <v>Lima + Callao</v>
          </cell>
          <cell r="D144">
            <v>44897</v>
          </cell>
          <cell r="G144" t="str">
            <v>San Miguel - PVH</v>
          </cell>
          <cell r="H144" t="str">
            <v>A2</v>
          </cell>
          <cell r="I144" t="str">
            <v>VIK ENCISO</v>
          </cell>
          <cell r="J144" t="str">
            <v>Sebastián Santangelo</v>
          </cell>
          <cell r="K144" t="str">
            <v>VERONICA VALDEZ</v>
          </cell>
          <cell r="M144">
            <v>2854</v>
          </cell>
          <cell r="N144" t="str">
            <v>Lima Metrop Norte</v>
          </cell>
          <cell r="O144" t="str">
            <v>BC2</v>
          </cell>
          <cell r="P144" t="str">
            <v>Lima</v>
          </cell>
          <cell r="Q144" t="str">
            <v>Lima</v>
          </cell>
          <cell r="R144" t="str">
            <v>SAN MIGUEL</v>
          </cell>
        </row>
        <row r="145">
          <cell r="A145">
            <v>1198</v>
          </cell>
          <cell r="B145" t="str">
            <v>PLAZA VEA</v>
          </cell>
          <cell r="C145" t="str">
            <v>Provincia</v>
          </cell>
          <cell r="D145">
            <v>44890</v>
          </cell>
          <cell r="G145" t="str">
            <v>Cusco Wanchaq-PVH</v>
          </cell>
          <cell r="H145" t="str">
            <v>B2</v>
          </cell>
          <cell r="I145" t="str">
            <v>JOE HUAMANCONDOR</v>
          </cell>
          <cell r="J145" t="str">
            <v>Sofía Villanueva</v>
          </cell>
          <cell r="K145" t="str">
            <v>VERONICA VALDEZ</v>
          </cell>
          <cell r="M145">
            <v>2227</v>
          </cell>
          <cell r="N145" t="str">
            <v>Resto Peru Sur</v>
          </cell>
          <cell r="O145" t="str">
            <v>BC2</v>
          </cell>
          <cell r="P145" t="str">
            <v>Cusco</v>
          </cell>
          <cell r="Q145" t="str">
            <v>Cusco</v>
          </cell>
          <cell r="R145" t="str">
            <v>CUSCO WANCHAQ-PVH</v>
          </cell>
        </row>
        <row r="146">
          <cell r="A146" t="str">
            <v>SO06</v>
          </cell>
          <cell r="B146" t="str">
            <v>PLAZA VEA</v>
          </cell>
          <cell r="C146" t="str">
            <v>Provincia</v>
          </cell>
          <cell r="D146">
            <v>45962</v>
          </cell>
          <cell r="G146" t="str">
            <v>Tarapoto 2 - PVO</v>
          </cell>
          <cell r="H146" t="str">
            <v>C3</v>
          </cell>
          <cell r="I146" t="str">
            <v>PEPE ARAMBURU</v>
          </cell>
          <cell r="J146" t="str">
            <v>Sofía Villanueva</v>
          </cell>
          <cell r="K146" t="str">
            <v>VERONICA VALDEZ</v>
          </cell>
          <cell r="M146">
            <v>4210</v>
          </cell>
          <cell r="N146" t="str">
            <v>Resto Peru Norte</v>
          </cell>
          <cell r="O146" t="str">
            <v>BC3</v>
          </cell>
          <cell r="P146" t="str">
            <v>San Martin</v>
          </cell>
          <cell r="Q146" t="str">
            <v>San Martin</v>
          </cell>
          <cell r="R146" t="str">
            <v>TARAPOTO 2</v>
          </cell>
        </row>
        <row r="147">
          <cell r="A147" t="str">
            <v>2638</v>
          </cell>
          <cell r="B147" t="str">
            <v>PLAZA VEA</v>
          </cell>
          <cell r="C147" t="str">
            <v>Provincia</v>
          </cell>
          <cell r="D147">
            <v>45976</v>
          </cell>
          <cell r="G147" t="str">
            <v>SJB Ayacucho - PVH</v>
          </cell>
          <cell r="H147" t="str">
            <v>B1</v>
          </cell>
          <cell r="I147" t="str">
            <v>PEPE ARAMBURU</v>
          </cell>
          <cell r="J147" t="str">
            <v>Sofía Villanueva</v>
          </cell>
          <cell r="K147" t="str">
            <v>VERONICA VALDEZ</v>
          </cell>
          <cell r="M147">
            <v>2756</v>
          </cell>
          <cell r="N147" t="str">
            <v>Resto Peru Sur</v>
          </cell>
          <cell r="O147" t="str">
            <v>BC2</v>
          </cell>
          <cell r="P147" t="str">
            <v>Ayacucho</v>
          </cell>
          <cell r="Q147" t="str">
            <v>Huamanga</v>
          </cell>
          <cell r="R147" t="str">
            <v>SJB AYACUCHO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workbookViewId="0">
      <selection activeCell="L1" sqref="L1:M1048576"/>
    </sheetView>
  </sheetViews>
  <sheetFormatPr baseColWidth="10" defaultColWidth="8.88671875" defaultRowHeight="14.4" x14ac:dyDescent="0.3"/>
  <cols>
    <col min="1" max="1" width="20.5546875" bestFit="1" customWidth="1"/>
    <col min="2" max="2" width="11.5546875" bestFit="1" customWidth="1"/>
    <col min="3" max="3" width="19.33203125" bestFit="1" customWidth="1"/>
    <col min="4" max="4" width="13.5546875" bestFit="1" customWidth="1"/>
    <col min="5" max="5" width="20.109375" bestFit="1" customWidth="1"/>
    <col min="6" max="6" width="19.77734375" bestFit="1" customWidth="1"/>
    <col min="7" max="7" width="18.33203125" bestFit="1" customWidth="1"/>
    <col min="8" max="8" width="13.109375" customWidth="1"/>
    <col min="9" max="9" width="11.5546875" customWidth="1"/>
    <col min="10" max="10" width="14.109375" style="9" customWidth="1"/>
    <col min="11" max="11" width="14.5546875" style="9" customWidth="1"/>
    <col min="12" max="13" width="12.77734375" style="4" customWidth="1"/>
    <col min="14" max="14" width="9.33203125" style="4" customWidth="1"/>
  </cols>
  <sheetData>
    <row r="1" spans="1:1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284</v>
      </c>
      <c r="K1" s="8" t="s">
        <v>285</v>
      </c>
      <c r="L1" s="3" t="s">
        <v>282</v>
      </c>
      <c r="M1" s="3" t="s">
        <v>283</v>
      </c>
      <c r="N1" s="7" t="s">
        <v>289</v>
      </c>
      <c r="O1" t="s">
        <v>286</v>
      </c>
      <c r="P1" t="s">
        <v>287</v>
      </c>
      <c r="Q1" s="7" t="s">
        <v>288</v>
      </c>
      <c r="R1" s="7" t="s">
        <v>288</v>
      </c>
    </row>
    <row r="2" spans="1:18" x14ac:dyDescent="0.3">
      <c r="A2" t="s">
        <v>186</v>
      </c>
      <c r="B2" t="s">
        <v>187</v>
      </c>
      <c r="C2" t="s">
        <v>78</v>
      </c>
      <c r="D2" t="s">
        <v>12</v>
      </c>
      <c r="E2" t="s">
        <v>13</v>
      </c>
      <c r="F2" t="s">
        <v>79</v>
      </c>
      <c r="G2" t="s">
        <v>80</v>
      </c>
      <c r="H2">
        <v>1345</v>
      </c>
      <c r="I2" t="s">
        <v>16</v>
      </c>
      <c r="J2" s="10">
        <v>7.3399999999999993E-2</v>
      </c>
      <c r="K2" s="10">
        <v>4.496E-2</v>
      </c>
      <c r="L2" s="4">
        <v>0</v>
      </c>
      <c r="M2" s="4">
        <v>361.93333333333328</v>
      </c>
      <c r="N2" s="6">
        <f t="shared" ref="N2:N33" si="0">+K2-J2</f>
        <v>-2.8439999999999993E-2</v>
      </c>
      <c r="O2" s="5">
        <f t="shared" ref="O2:O33" si="1">+K2/J2-1</f>
        <v>-0.38746594005449586</v>
      </c>
      <c r="P2" s="5"/>
      <c r="Q2">
        <f>+IFERROR(IF(AND(N2&gt;1%, O2&gt;10%, K2&gt;=3%),1,0),0)</f>
        <v>0</v>
      </c>
      <c r="R2">
        <f>+IFERROR(IF(AND(Q2=1, P2&gt;10%),1,0),0)</f>
        <v>0</v>
      </c>
    </row>
    <row r="3" spans="1:18" x14ac:dyDescent="0.3">
      <c r="A3" t="s">
        <v>250</v>
      </c>
      <c r="B3" t="s">
        <v>251</v>
      </c>
      <c r="C3" t="s">
        <v>11</v>
      </c>
      <c r="D3" t="s">
        <v>22</v>
      </c>
      <c r="E3" t="s">
        <v>19</v>
      </c>
      <c r="F3" t="s">
        <v>32</v>
      </c>
      <c r="G3" t="s">
        <v>24</v>
      </c>
      <c r="H3">
        <v>4210</v>
      </c>
      <c r="I3" t="s">
        <v>183</v>
      </c>
      <c r="J3" s="10"/>
      <c r="K3" s="10">
        <v>6.7239999999999994E-2</v>
      </c>
      <c r="L3" s="4">
        <v>0</v>
      </c>
      <c r="M3" s="4">
        <v>637.04999999999995</v>
      </c>
      <c r="N3" s="6">
        <f t="shared" si="0"/>
        <v>6.7239999999999994E-2</v>
      </c>
      <c r="O3" s="5"/>
      <c r="P3" s="5"/>
      <c r="Q3">
        <f>+IFERROR(IF(AND(N3&gt;1%, O3&gt;10%, K3&gt;=3%),1,0),0)</f>
        <v>0</v>
      </c>
      <c r="R3">
        <f>+IFERROR(IF(AND(Q3=1, P3&gt;10%),1,0),0)</f>
        <v>0</v>
      </c>
    </row>
    <row r="4" spans="1:18" x14ac:dyDescent="0.3">
      <c r="A4" t="s">
        <v>268</v>
      </c>
      <c r="B4" t="s">
        <v>269</v>
      </c>
      <c r="C4" t="s">
        <v>254</v>
      </c>
      <c r="D4" t="s">
        <v>12</v>
      </c>
      <c r="F4" t="s">
        <v>256</v>
      </c>
      <c r="G4" t="s">
        <v>256</v>
      </c>
      <c r="H4">
        <v>1111</v>
      </c>
      <c r="I4" t="s">
        <v>16</v>
      </c>
      <c r="J4" s="6"/>
      <c r="K4" s="6">
        <v>8.6449999999999999E-2</v>
      </c>
      <c r="L4" s="4">
        <v>0</v>
      </c>
      <c r="M4" s="4">
        <v>0</v>
      </c>
      <c r="N4" s="6">
        <f t="shared" si="0"/>
        <v>8.6449999999999999E-2</v>
      </c>
      <c r="O4" s="5"/>
      <c r="P4" s="5"/>
      <c r="Q4">
        <f>+IFERROR(IF(AND(N4&gt;2%, O4&gt;20%),1,0),0)</f>
        <v>0</v>
      </c>
      <c r="R4">
        <f t="shared" ref="R4:R66" si="2">+IFERROR(IF(AND(Q4=1, P4&gt;15%),1,0),0)</f>
        <v>0</v>
      </c>
    </row>
    <row r="5" spans="1:18" x14ac:dyDescent="0.3">
      <c r="A5" t="s">
        <v>274</v>
      </c>
      <c r="B5" t="s">
        <v>275</v>
      </c>
      <c r="C5" t="s">
        <v>192</v>
      </c>
      <c r="D5" t="s">
        <v>12</v>
      </c>
      <c r="E5" t="s">
        <v>193</v>
      </c>
      <c r="F5" t="s">
        <v>194</v>
      </c>
      <c r="G5" t="s">
        <v>194</v>
      </c>
      <c r="H5">
        <v>343</v>
      </c>
      <c r="I5" t="s">
        <v>16</v>
      </c>
      <c r="J5" s="6">
        <v>7.6659999999999992E-2</v>
      </c>
      <c r="K5" s="6">
        <v>4.5159999999999999E-2</v>
      </c>
      <c r="L5" s="4">
        <v>16.416666666666671</v>
      </c>
      <c r="M5" s="4">
        <v>164.43333333333331</v>
      </c>
      <c r="N5" s="6">
        <f t="shared" si="0"/>
        <v>-3.1499999999999993E-2</v>
      </c>
      <c r="O5" s="5">
        <f t="shared" si="1"/>
        <v>-0.41090529611270543</v>
      </c>
      <c r="P5" s="5">
        <f t="shared" ref="P5:P33" si="3">+M5/L5-1</f>
        <v>9.0162436548223308</v>
      </c>
      <c r="Q5">
        <f>+IFERROR(IF(AND(N5&gt;2%, O5&gt;20%),1,0),0)</f>
        <v>0</v>
      </c>
      <c r="R5">
        <f t="shared" si="2"/>
        <v>0</v>
      </c>
    </row>
    <row r="6" spans="1:18" x14ac:dyDescent="0.3">
      <c r="A6" t="s">
        <v>85</v>
      </c>
      <c r="B6" t="s">
        <v>86</v>
      </c>
      <c r="C6" t="s">
        <v>11</v>
      </c>
      <c r="D6" t="s">
        <v>22</v>
      </c>
      <c r="E6" t="s">
        <v>13</v>
      </c>
      <c r="F6" t="s">
        <v>32</v>
      </c>
      <c r="G6" t="s">
        <v>24</v>
      </c>
      <c r="H6">
        <v>3200</v>
      </c>
      <c r="I6" t="s">
        <v>16</v>
      </c>
      <c r="J6" s="10">
        <v>4.0419999999999998E-2</v>
      </c>
      <c r="K6" s="10">
        <v>4.5499999999999999E-2</v>
      </c>
      <c r="L6" s="4">
        <v>100.8</v>
      </c>
      <c r="M6" s="4">
        <v>460.36666666666667</v>
      </c>
      <c r="N6" s="6">
        <f t="shared" si="0"/>
        <v>5.0800000000000012E-3</v>
      </c>
      <c r="O6" s="5">
        <f t="shared" si="1"/>
        <v>0.12568035625927765</v>
      </c>
      <c r="P6" s="5">
        <f t="shared" si="3"/>
        <v>3.5671296296296298</v>
      </c>
      <c r="Q6">
        <f t="shared" ref="Q6:Q13" si="4">+IFERROR(IF(AND(N6&gt;1%, O6&gt;10%, K6&gt;=3%),1,0),0)</f>
        <v>0</v>
      </c>
      <c r="R6">
        <f t="shared" ref="R6:R13" si="5">+IFERROR(IF(AND(Q6=1, P6&gt;10%),1,0),0)</f>
        <v>0</v>
      </c>
    </row>
    <row r="7" spans="1:18" x14ac:dyDescent="0.3">
      <c r="A7" t="s">
        <v>70</v>
      </c>
      <c r="B7">
        <v>1198</v>
      </c>
      <c r="C7" t="str">
        <f>+VLOOKUP(B7,[1]Sheet1!$A:$R,2,FALSE)</f>
        <v>PLAZA VEA</v>
      </c>
      <c r="D7" t="str">
        <f>+VLOOKUP(B7,[1]Sheet1!$A:$R,3,FALSE)</f>
        <v>Provincia</v>
      </c>
      <c r="E7" t="str">
        <f>+VLOOKUP(B7,[1]Sheet1!$A:$R,15,FALSE)</f>
        <v>BC2</v>
      </c>
      <c r="F7" t="str">
        <f>+VLOOKUP(B7,[1]Sheet1!$A:$R,9,FALSE)</f>
        <v>JOE HUAMANCONDOR</v>
      </c>
      <c r="G7" t="str">
        <f>+VLOOKUP(B7,[1]Sheet1!$A:$R,10,FALSE)</f>
        <v>Sofía Villanueva</v>
      </c>
      <c r="H7">
        <f>+VLOOKUP(B7,[1]Sheet1!$A:$R,13,FALSE)</f>
        <v>2227</v>
      </c>
      <c r="I7" t="str">
        <f>+VLOOKUP(B7,[1]Sheet1!$A:$R,16,FALSE)</f>
        <v>Cusco</v>
      </c>
      <c r="J7" s="10">
        <v>6.6459999999999991E-2</v>
      </c>
      <c r="K7" s="10">
        <v>9.8040000000000002E-2</v>
      </c>
      <c r="L7" s="4">
        <v>24.633333333333329</v>
      </c>
      <c r="M7" s="4">
        <v>88</v>
      </c>
      <c r="N7" s="6">
        <f t="shared" si="0"/>
        <v>3.1580000000000011E-2</v>
      </c>
      <c r="O7" s="5">
        <f t="shared" si="1"/>
        <v>0.47517303641288011</v>
      </c>
      <c r="P7" s="5">
        <f t="shared" si="3"/>
        <v>2.5723951285520981</v>
      </c>
      <c r="Q7">
        <f t="shared" si="4"/>
        <v>1</v>
      </c>
      <c r="R7">
        <f t="shared" si="5"/>
        <v>1</v>
      </c>
    </row>
    <row r="8" spans="1:18" x14ac:dyDescent="0.3">
      <c r="A8" t="s">
        <v>226</v>
      </c>
      <c r="B8" t="s">
        <v>227</v>
      </c>
      <c r="C8" t="s">
        <v>78</v>
      </c>
      <c r="D8" t="s">
        <v>12</v>
      </c>
      <c r="E8" t="s">
        <v>13</v>
      </c>
      <c r="F8" t="s">
        <v>79</v>
      </c>
      <c r="G8" t="s">
        <v>80</v>
      </c>
      <c r="H8">
        <v>1510</v>
      </c>
      <c r="I8" t="s">
        <v>16</v>
      </c>
      <c r="J8" s="10">
        <v>6.3920000000000005E-2</v>
      </c>
      <c r="K8" s="10">
        <v>5.8799999999999998E-2</v>
      </c>
      <c r="L8" s="4">
        <v>32.233333333333327</v>
      </c>
      <c r="M8" s="4">
        <v>106.01666666666669</v>
      </c>
      <c r="N8" s="6">
        <f t="shared" si="0"/>
        <v>-5.1200000000000065E-3</v>
      </c>
      <c r="O8" s="5">
        <f t="shared" si="1"/>
        <v>-8.0100125156445601E-2</v>
      </c>
      <c r="P8" s="5">
        <f t="shared" si="3"/>
        <v>2.289038262668047</v>
      </c>
      <c r="Q8">
        <f t="shared" si="4"/>
        <v>0</v>
      </c>
      <c r="R8">
        <f t="shared" si="5"/>
        <v>0</v>
      </c>
    </row>
    <row r="9" spans="1:18" x14ac:dyDescent="0.3">
      <c r="A9" t="s">
        <v>202</v>
      </c>
      <c r="B9" t="s">
        <v>203</v>
      </c>
      <c r="C9" t="s">
        <v>78</v>
      </c>
      <c r="D9" t="s">
        <v>12</v>
      </c>
      <c r="E9" t="s">
        <v>197</v>
      </c>
      <c r="F9" t="s">
        <v>79</v>
      </c>
      <c r="G9" t="s">
        <v>80</v>
      </c>
      <c r="H9">
        <v>651</v>
      </c>
      <c r="I9" t="s">
        <v>16</v>
      </c>
      <c r="J9" s="10">
        <v>8.5139999999999993E-2</v>
      </c>
      <c r="K9" s="10">
        <v>0.14621999999999999</v>
      </c>
      <c r="L9" s="4">
        <v>130.01666666666671</v>
      </c>
      <c r="M9" s="4">
        <v>416.25</v>
      </c>
      <c r="N9" s="6">
        <f t="shared" si="0"/>
        <v>6.1079999999999995E-2</v>
      </c>
      <c r="O9" s="5">
        <f t="shared" si="1"/>
        <v>0.71740662438336855</v>
      </c>
      <c r="P9" s="5">
        <f t="shared" si="3"/>
        <v>2.2015126265863341</v>
      </c>
      <c r="Q9">
        <f t="shared" si="4"/>
        <v>1</v>
      </c>
      <c r="R9">
        <f t="shared" si="5"/>
        <v>1</v>
      </c>
    </row>
    <row r="10" spans="1:18" x14ac:dyDescent="0.3">
      <c r="A10" t="s">
        <v>198</v>
      </c>
      <c r="B10" t="s">
        <v>199</v>
      </c>
      <c r="C10" t="s">
        <v>78</v>
      </c>
      <c r="D10" t="s">
        <v>12</v>
      </c>
      <c r="E10" t="s">
        <v>197</v>
      </c>
      <c r="F10" t="s">
        <v>194</v>
      </c>
      <c r="G10" t="s">
        <v>194</v>
      </c>
      <c r="H10">
        <v>1048</v>
      </c>
      <c r="I10" t="s">
        <v>16</v>
      </c>
      <c r="J10" s="10">
        <v>4.1260000000000012E-2</v>
      </c>
      <c r="K10" s="10">
        <v>8.1640000000000004E-2</v>
      </c>
      <c r="L10" s="4">
        <v>29.583333333333329</v>
      </c>
      <c r="M10" s="4">
        <v>89.333333333333329</v>
      </c>
      <c r="N10" s="6">
        <f t="shared" si="0"/>
        <v>4.0379999999999992E-2</v>
      </c>
      <c r="O10" s="5">
        <f t="shared" si="1"/>
        <v>0.97867183713039219</v>
      </c>
      <c r="P10" s="5">
        <f t="shared" si="3"/>
        <v>2.0197183098591553</v>
      </c>
      <c r="Q10">
        <f t="shared" si="4"/>
        <v>1</v>
      </c>
      <c r="R10">
        <f t="shared" si="5"/>
        <v>1</v>
      </c>
    </row>
    <row r="11" spans="1:18" x14ac:dyDescent="0.3">
      <c r="A11" t="s">
        <v>176</v>
      </c>
      <c r="B11" t="s">
        <v>177</v>
      </c>
      <c r="C11" t="s">
        <v>11</v>
      </c>
      <c r="D11" t="s">
        <v>22</v>
      </c>
      <c r="E11" t="s">
        <v>19</v>
      </c>
      <c r="F11" t="s">
        <v>32</v>
      </c>
      <c r="G11" t="s">
        <v>24</v>
      </c>
      <c r="H11">
        <v>3976</v>
      </c>
      <c r="I11" t="s">
        <v>41</v>
      </c>
      <c r="J11" s="10">
        <v>3.4959999999999998E-2</v>
      </c>
      <c r="K11" s="10">
        <v>4.9340000000000002E-2</v>
      </c>
      <c r="L11" s="4">
        <v>367.23333333333329</v>
      </c>
      <c r="M11" s="4">
        <v>977.5</v>
      </c>
      <c r="N11" s="6">
        <f t="shared" si="0"/>
        <v>1.4380000000000004E-2</v>
      </c>
      <c r="O11" s="5">
        <f t="shared" si="1"/>
        <v>0.41132723112128167</v>
      </c>
      <c r="P11" s="5">
        <f t="shared" si="3"/>
        <v>1.6617954070981216</v>
      </c>
      <c r="Q11">
        <f t="shared" si="4"/>
        <v>1</v>
      </c>
      <c r="R11">
        <f t="shared" si="5"/>
        <v>1</v>
      </c>
    </row>
    <row r="12" spans="1:18" x14ac:dyDescent="0.3">
      <c r="A12" t="s">
        <v>76</v>
      </c>
      <c r="B12" t="s">
        <v>77</v>
      </c>
      <c r="C12" t="s">
        <v>78</v>
      </c>
      <c r="D12" t="s">
        <v>22</v>
      </c>
      <c r="E12" t="s">
        <v>13</v>
      </c>
      <c r="F12" t="s">
        <v>79</v>
      </c>
      <c r="G12" t="s">
        <v>80</v>
      </c>
      <c r="H12">
        <v>1804</v>
      </c>
      <c r="I12" t="s">
        <v>25</v>
      </c>
      <c r="J12" s="10">
        <v>7.1999999999999995E-2</v>
      </c>
      <c r="K12" s="10">
        <v>7.3940000000000006E-2</v>
      </c>
      <c r="L12" s="4">
        <v>34.35</v>
      </c>
      <c r="M12" s="4">
        <v>90</v>
      </c>
      <c r="N12" s="6">
        <f t="shared" si="0"/>
        <v>1.9400000000000112E-3</v>
      </c>
      <c r="O12" s="5">
        <f t="shared" si="1"/>
        <v>2.694444444444466E-2</v>
      </c>
      <c r="P12" s="5">
        <f t="shared" si="3"/>
        <v>1.6200873362445414</v>
      </c>
      <c r="Q12">
        <f t="shared" si="4"/>
        <v>0</v>
      </c>
      <c r="R12">
        <f t="shared" si="5"/>
        <v>0</v>
      </c>
    </row>
    <row r="13" spans="1:18" x14ac:dyDescent="0.3">
      <c r="A13" t="s">
        <v>92</v>
      </c>
      <c r="B13" t="s">
        <v>93</v>
      </c>
      <c r="C13" t="s">
        <v>11</v>
      </c>
      <c r="D13" t="s">
        <v>22</v>
      </c>
      <c r="E13" t="s">
        <v>19</v>
      </c>
      <c r="F13" t="s">
        <v>23</v>
      </c>
      <c r="G13" t="s">
        <v>24</v>
      </c>
      <c r="H13">
        <v>4499</v>
      </c>
      <c r="I13" t="s">
        <v>59</v>
      </c>
      <c r="J13" s="10">
        <v>8.0280000000000004E-2</v>
      </c>
      <c r="K13" s="10">
        <v>7.4260000000000007E-2</v>
      </c>
      <c r="L13" s="4">
        <v>368.61666666666667</v>
      </c>
      <c r="M13" s="4">
        <v>906.65</v>
      </c>
      <c r="N13" s="6">
        <f t="shared" si="0"/>
        <v>-6.0199999999999976E-3</v>
      </c>
      <c r="O13" s="5">
        <f t="shared" si="1"/>
        <v>-7.4987543597409001E-2</v>
      </c>
      <c r="P13" s="5">
        <f t="shared" si="3"/>
        <v>1.4596012117375774</v>
      </c>
      <c r="Q13">
        <f t="shared" si="4"/>
        <v>0</v>
      </c>
      <c r="R13">
        <f t="shared" si="5"/>
        <v>0</v>
      </c>
    </row>
    <row r="14" spans="1:18" x14ac:dyDescent="0.3">
      <c r="A14" t="s">
        <v>276</v>
      </c>
      <c r="B14" t="s">
        <v>277</v>
      </c>
      <c r="C14" t="s">
        <v>192</v>
      </c>
      <c r="D14" t="s">
        <v>12</v>
      </c>
      <c r="E14" t="s">
        <v>193</v>
      </c>
      <c r="F14" t="s">
        <v>194</v>
      </c>
      <c r="G14" t="s">
        <v>194</v>
      </c>
      <c r="H14">
        <v>293</v>
      </c>
      <c r="I14" t="s">
        <v>16</v>
      </c>
      <c r="J14" s="6">
        <v>0.1651</v>
      </c>
      <c r="K14" s="6">
        <v>0.29461999999999999</v>
      </c>
      <c r="L14" s="4">
        <v>43.5</v>
      </c>
      <c r="M14" s="4">
        <v>95.466666666666669</v>
      </c>
      <c r="N14" s="6">
        <f t="shared" si="0"/>
        <v>0.12952</v>
      </c>
      <c r="O14" s="5">
        <f t="shared" si="1"/>
        <v>0.78449424591156869</v>
      </c>
      <c r="P14" s="5">
        <f t="shared" si="3"/>
        <v>1.1946360153256705</v>
      </c>
      <c r="Q14">
        <f>+IFERROR(IF(AND(N14&gt;2%, O14&gt;20%),1,0),0)</f>
        <v>1</v>
      </c>
      <c r="R14">
        <f t="shared" si="2"/>
        <v>1</v>
      </c>
    </row>
    <row r="15" spans="1:18" x14ac:dyDescent="0.3">
      <c r="A15" t="s">
        <v>118</v>
      </c>
      <c r="B15" t="s">
        <v>119</v>
      </c>
      <c r="C15" t="s">
        <v>11</v>
      </c>
      <c r="D15" t="s">
        <v>22</v>
      </c>
      <c r="E15" t="s">
        <v>13</v>
      </c>
      <c r="F15" t="s">
        <v>51</v>
      </c>
      <c r="G15" t="s">
        <v>24</v>
      </c>
      <c r="H15">
        <v>3800</v>
      </c>
      <c r="I15" t="s">
        <v>56</v>
      </c>
      <c r="J15" s="10">
        <v>2.726E-2</v>
      </c>
      <c r="K15" s="10">
        <v>3.9980000000000002E-2</v>
      </c>
      <c r="L15" s="4">
        <v>247.7</v>
      </c>
      <c r="M15" s="4">
        <v>477.83333333333331</v>
      </c>
      <c r="N15" s="6">
        <f t="shared" si="0"/>
        <v>1.2720000000000002E-2</v>
      </c>
      <c r="O15" s="5">
        <f t="shared" si="1"/>
        <v>0.46661775495231117</v>
      </c>
      <c r="P15" s="5">
        <f t="shared" si="3"/>
        <v>0.92908087740546352</v>
      </c>
      <c r="Q15">
        <f t="shared" ref="Q15:Q16" si="6">+IFERROR(IF(AND(N15&gt;1%, O15&gt;10%, K15&gt;=3%),1,0),0)</f>
        <v>1</v>
      </c>
      <c r="R15">
        <f t="shared" ref="R15:R16" si="7">+IFERROR(IF(AND(Q15=1, P15&gt;10%),1,0),0)</f>
        <v>1</v>
      </c>
    </row>
    <row r="16" spans="1:18" x14ac:dyDescent="0.3">
      <c r="A16" t="s">
        <v>188</v>
      </c>
      <c r="B16" t="s">
        <v>189</v>
      </c>
      <c r="C16" t="s">
        <v>78</v>
      </c>
      <c r="D16" t="s">
        <v>12</v>
      </c>
      <c r="E16" t="s">
        <v>68</v>
      </c>
      <c r="F16" t="s">
        <v>79</v>
      </c>
      <c r="G16" t="s">
        <v>80</v>
      </c>
      <c r="H16">
        <v>3507</v>
      </c>
      <c r="I16" t="s">
        <v>16</v>
      </c>
      <c r="J16" s="10">
        <v>9.4320000000000001E-2</v>
      </c>
      <c r="K16" s="10">
        <v>8.7059999999999998E-2</v>
      </c>
      <c r="L16" s="4">
        <v>186.7166666666667</v>
      </c>
      <c r="M16" s="4">
        <v>360.13333333333333</v>
      </c>
      <c r="N16" s="6">
        <f t="shared" si="0"/>
        <v>-7.2600000000000026E-3</v>
      </c>
      <c r="O16" s="5">
        <f t="shared" si="1"/>
        <v>-7.6972010178117056E-2</v>
      </c>
      <c r="P16" s="5">
        <f t="shared" si="3"/>
        <v>0.92876907971079148</v>
      </c>
      <c r="Q16">
        <f t="shared" si="6"/>
        <v>0</v>
      </c>
      <c r="R16">
        <f t="shared" si="7"/>
        <v>0</v>
      </c>
    </row>
    <row r="17" spans="1:18" x14ac:dyDescent="0.3">
      <c r="A17" t="s">
        <v>239</v>
      </c>
      <c r="B17" t="s">
        <v>280</v>
      </c>
      <c r="C17" t="str">
        <f>+VLOOKUP(B17,[1]Sheet1!$A:$R,2,FALSE)</f>
        <v>PLAZA VEA EXPRESS</v>
      </c>
      <c r="D17" t="str">
        <f>+VLOOKUP(B17,[1]Sheet1!$A:$R,3,FALSE)</f>
        <v>Provincia</v>
      </c>
      <c r="E17" t="str">
        <f>+VLOOKUP(B17,[1]Sheet1!$A:$R,15,FALSE)</f>
        <v>FP</v>
      </c>
      <c r="F17" t="str">
        <f>+VLOOKUP(B17,[1]Sheet1!$A:$R,9,FALSE)</f>
        <v>Fátima León</v>
      </c>
      <c r="G17" t="str">
        <f>+VLOOKUP(B17,[1]Sheet1!$A:$R,10,FALSE)</f>
        <v>Fátima León</v>
      </c>
      <c r="H17">
        <f>+VLOOKUP(B17,[1]Sheet1!$A:$R,13,FALSE)</f>
        <v>400</v>
      </c>
      <c r="I17" t="str">
        <f>+VLOOKUP(B17,[1]Sheet1!$A:$R,16,FALSE)</f>
        <v>Ancash</v>
      </c>
      <c r="J17" s="6">
        <v>9.5200000000000007E-3</v>
      </c>
      <c r="K17" s="6">
        <v>5.2440000000000001E-2</v>
      </c>
      <c r="L17" s="4">
        <v>99.65</v>
      </c>
      <c r="M17" s="4">
        <v>191.45</v>
      </c>
      <c r="N17" s="6">
        <f t="shared" si="0"/>
        <v>4.292E-2</v>
      </c>
      <c r="O17" s="5">
        <f t="shared" si="1"/>
        <v>4.5084033613445378</v>
      </c>
      <c r="P17" s="5">
        <f t="shared" si="3"/>
        <v>0.92122428499749098</v>
      </c>
      <c r="Q17">
        <f>+IFERROR(IF(AND(N17&gt;2%, O17&gt;20%),1,0),0)</f>
        <v>1</v>
      </c>
      <c r="R17">
        <f t="shared" si="2"/>
        <v>1</v>
      </c>
    </row>
    <row r="18" spans="1:18" x14ac:dyDescent="0.3">
      <c r="A18" t="s">
        <v>151</v>
      </c>
      <c r="B18" t="s">
        <v>152</v>
      </c>
      <c r="C18" t="s">
        <v>11</v>
      </c>
      <c r="D18" t="s">
        <v>22</v>
      </c>
      <c r="E18" t="s">
        <v>13</v>
      </c>
      <c r="F18" t="s">
        <v>32</v>
      </c>
      <c r="G18" t="s">
        <v>24</v>
      </c>
      <c r="H18">
        <v>2756</v>
      </c>
      <c r="I18" t="s">
        <v>153</v>
      </c>
      <c r="J18" s="10"/>
      <c r="K18" s="10">
        <v>6.5200000000000008E-2</v>
      </c>
      <c r="L18" s="4">
        <v>110.6666666666667</v>
      </c>
      <c r="M18" s="4">
        <v>208.06666666666669</v>
      </c>
      <c r="N18" s="6">
        <f t="shared" si="0"/>
        <v>6.5200000000000008E-2</v>
      </c>
      <c r="O18" s="5"/>
      <c r="P18" s="5">
        <f t="shared" si="3"/>
        <v>0.88012048192771042</v>
      </c>
      <c r="Q18">
        <f t="shared" ref="Q18:Q33" si="8">+IFERROR(IF(AND(N18&gt;1%, O18&gt;10%, K18&gt;=3%),1,0),0)</f>
        <v>0</v>
      </c>
      <c r="R18">
        <f t="shared" ref="R18:R33" si="9">+IFERROR(IF(AND(Q18=1, P18&gt;10%),1,0),0)</f>
        <v>0</v>
      </c>
    </row>
    <row r="19" spans="1:18" x14ac:dyDescent="0.3">
      <c r="A19" t="s">
        <v>171</v>
      </c>
      <c r="B19" t="s">
        <v>172</v>
      </c>
      <c r="C19" t="s">
        <v>11</v>
      </c>
      <c r="D19" t="s">
        <v>12</v>
      </c>
      <c r="E19" t="s">
        <v>19</v>
      </c>
      <c r="F19" t="s">
        <v>14</v>
      </c>
      <c r="G19" t="s">
        <v>15</v>
      </c>
      <c r="H19">
        <v>3528</v>
      </c>
      <c r="I19" t="s">
        <v>44</v>
      </c>
      <c r="J19" s="10">
        <v>4.1020000000000001E-2</v>
      </c>
      <c r="K19" s="10">
        <v>4.4839999999999998E-2</v>
      </c>
      <c r="L19" s="4">
        <v>287.2</v>
      </c>
      <c r="M19" s="4">
        <v>517.9</v>
      </c>
      <c r="N19" s="6">
        <f t="shared" si="0"/>
        <v>3.819999999999997E-3</v>
      </c>
      <c r="O19" s="5">
        <f t="shared" si="1"/>
        <v>9.3125304729400282E-2</v>
      </c>
      <c r="P19" s="5">
        <f t="shared" si="3"/>
        <v>0.80327298050139273</v>
      </c>
      <c r="Q19">
        <f t="shared" si="8"/>
        <v>0</v>
      </c>
      <c r="R19">
        <f t="shared" si="9"/>
        <v>0</v>
      </c>
    </row>
    <row r="20" spans="1:18" x14ac:dyDescent="0.3">
      <c r="A20" t="s">
        <v>71</v>
      </c>
      <c r="B20" t="s">
        <v>72</v>
      </c>
      <c r="C20" t="s">
        <v>11</v>
      </c>
      <c r="D20" t="s">
        <v>12</v>
      </c>
      <c r="E20" t="s">
        <v>13</v>
      </c>
      <c r="F20" t="s">
        <v>28</v>
      </c>
      <c r="G20" t="s">
        <v>15</v>
      </c>
      <c r="H20">
        <v>2409</v>
      </c>
      <c r="I20" t="s">
        <v>16</v>
      </c>
      <c r="J20" s="10">
        <v>6.9779999999999995E-2</v>
      </c>
      <c r="K20" s="10">
        <v>3.9579999999999997E-2</v>
      </c>
      <c r="L20" s="4">
        <v>21.483333333333331</v>
      </c>
      <c r="M20" s="4">
        <v>38.316666666666663</v>
      </c>
      <c r="N20" s="6">
        <f t="shared" si="0"/>
        <v>-3.0199999999999998E-2</v>
      </c>
      <c r="O20" s="5">
        <f t="shared" si="1"/>
        <v>-0.43278876468902261</v>
      </c>
      <c r="P20" s="5">
        <f t="shared" si="3"/>
        <v>0.78355314197051973</v>
      </c>
      <c r="Q20">
        <f t="shared" si="8"/>
        <v>0</v>
      </c>
      <c r="R20">
        <f t="shared" si="9"/>
        <v>0</v>
      </c>
    </row>
    <row r="21" spans="1:18" x14ac:dyDescent="0.3">
      <c r="A21" t="s">
        <v>101</v>
      </c>
      <c r="B21" t="s">
        <v>102</v>
      </c>
      <c r="C21" t="s">
        <v>11</v>
      </c>
      <c r="D21" t="s">
        <v>22</v>
      </c>
      <c r="E21" t="s">
        <v>19</v>
      </c>
      <c r="F21" t="s">
        <v>23</v>
      </c>
      <c r="G21" t="s">
        <v>24</v>
      </c>
      <c r="H21">
        <v>4295</v>
      </c>
      <c r="I21" t="s">
        <v>103</v>
      </c>
      <c r="J21" s="10">
        <v>6.6860000000000003E-2</v>
      </c>
      <c r="K21" s="10">
        <v>0.10038</v>
      </c>
      <c r="L21" s="4">
        <v>22.266666666666669</v>
      </c>
      <c r="M21" s="4">
        <v>38.933333333333337</v>
      </c>
      <c r="N21" s="6">
        <f t="shared" si="0"/>
        <v>3.3519999999999994E-2</v>
      </c>
      <c r="O21" s="5">
        <f t="shared" si="1"/>
        <v>0.50134609632066995</v>
      </c>
      <c r="P21" s="5">
        <f t="shared" si="3"/>
        <v>0.74850299401197606</v>
      </c>
      <c r="Q21">
        <f t="shared" si="8"/>
        <v>1</v>
      </c>
      <c r="R21">
        <f t="shared" si="9"/>
        <v>1</v>
      </c>
    </row>
    <row r="22" spans="1:18" x14ac:dyDescent="0.3">
      <c r="A22" t="s">
        <v>221</v>
      </c>
      <c r="B22" t="s">
        <v>222</v>
      </c>
      <c r="C22" t="s">
        <v>78</v>
      </c>
      <c r="D22" t="s">
        <v>12</v>
      </c>
      <c r="E22" t="s">
        <v>197</v>
      </c>
      <c r="F22" t="s">
        <v>194</v>
      </c>
      <c r="G22" t="s">
        <v>194</v>
      </c>
      <c r="H22">
        <v>875</v>
      </c>
      <c r="I22" t="s">
        <v>44</v>
      </c>
      <c r="J22" s="10">
        <v>8.5199999999999998E-2</v>
      </c>
      <c r="K22" s="10">
        <v>5.6279999999999997E-2</v>
      </c>
      <c r="L22" s="4">
        <v>108.43333333333329</v>
      </c>
      <c r="M22" s="4">
        <v>178.5</v>
      </c>
      <c r="N22" s="6">
        <f t="shared" si="0"/>
        <v>-2.8920000000000001E-2</v>
      </c>
      <c r="O22" s="5">
        <f t="shared" si="1"/>
        <v>-0.33943661971830985</v>
      </c>
      <c r="P22" s="5">
        <f t="shared" si="3"/>
        <v>0.64617276360282871</v>
      </c>
      <c r="Q22">
        <f t="shared" si="8"/>
        <v>0</v>
      </c>
      <c r="R22">
        <f t="shared" si="9"/>
        <v>0</v>
      </c>
    </row>
    <row r="23" spans="1:18" x14ac:dyDescent="0.3">
      <c r="A23" t="s">
        <v>210</v>
      </c>
      <c r="B23" t="s">
        <v>211</v>
      </c>
      <c r="C23" t="s">
        <v>78</v>
      </c>
      <c r="D23" t="s">
        <v>22</v>
      </c>
      <c r="E23" t="s">
        <v>13</v>
      </c>
      <c r="F23" t="s">
        <v>79</v>
      </c>
      <c r="G23" t="s">
        <v>80</v>
      </c>
      <c r="H23">
        <v>1302</v>
      </c>
      <c r="I23" t="s">
        <v>89</v>
      </c>
      <c r="J23" s="10">
        <v>3.4599999999999999E-2</v>
      </c>
      <c r="K23" s="10">
        <v>7.7219999999999997E-2</v>
      </c>
      <c r="L23" s="4">
        <v>34.666666666666657</v>
      </c>
      <c r="M23" s="4">
        <v>56.216666666666669</v>
      </c>
      <c r="N23" s="6">
        <f t="shared" si="0"/>
        <v>4.2619999999999998E-2</v>
      </c>
      <c r="O23" s="5">
        <f t="shared" si="1"/>
        <v>1.231791907514451</v>
      </c>
      <c r="P23" s="5">
        <f t="shared" si="3"/>
        <v>0.62163461538461595</v>
      </c>
      <c r="Q23">
        <f t="shared" si="8"/>
        <v>1</v>
      </c>
      <c r="R23">
        <f t="shared" si="9"/>
        <v>1</v>
      </c>
    </row>
    <row r="24" spans="1:18" x14ac:dyDescent="0.3">
      <c r="A24" t="s">
        <v>272</v>
      </c>
      <c r="B24" t="s">
        <v>273</v>
      </c>
      <c r="C24" t="s">
        <v>78</v>
      </c>
      <c r="D24" t="s">
        <v>12</v>
      </c>
      <c r="E24" t="s">
        <v>193</v>
      </c>
      <c r="F24" t="s">
        <v>194</v>
      </c>
      <c r="G24" t="s">
        <v>194</v>
      </c>
      <c r="H24">
        <v>713</v>
      </c>
      <c r="I24" t="s">
        <v>16</v>
      </c>
      <c r="J24" s="10">
        <v>2.8559999999999999E-2</v>
      </c>
      <c r="K24" s="10">
        <v>8.1900000000000001E-2</v>
      </c>
      <c r="L24" s="4">
        <v>62.583333333333343</v>
      </c>
      <c r="M24" s="4">
        <v>97.716666666666669</v>
      </c>
      <c r="N24" s="6">
        <f t="shared" si="0"/>
        <v>5.3339999999999999E-2</v>
      </c>
      <c r="O24" s="5">
        <f t="shared" si="1"/>
        <v>1.8676470588235294</v>
      </c>
      <c r="P24" s="5">
        <f t="shared" si="3"/>
        <v>0.56138482023968028</v>
      </c>
      <c r="Q24">
        <f t="shared" si="8"/>
        <v>1</v>
      </c>
      <c r="R24">
        <f t="shared" si="9"/>
        <v>1</v>
      </c>
    </row>
    <row r="25" spans="1:18" x14ac:dyDescent="0.3">
      <c r="A25" t="s">
        <v>83</v>
      </c>
      <c r="B25" t="s">
        <v>84</v>
      </c>
      <c r="C25" t="s">
        <v>11</v>
      </c>
      <c r="D25" t="s">
        <v>12</v>
      </c>
      <c r="E25" t="s">
        <v>19</v>
      </c>
      <c r="F25" t="s">
        <v>69</v>
      </c>
      <c r="G25" t="s">
        <v>15</v>
      </c>
      <c r="H25">
        <v>4577</v>
      </c>
      <c r="I25" t="s">
        <v>16</v>
      </c>
      <c r="J25" s="10">
        <v>6.9580000000000003E-2</v>
      </c>
      <c r="K25" s="10">
        <v>6.9059999999999996E-2</v>
      </c>
      <c r="L25" s="4">
        <v>684.86666666666667</v>
      </c>
      <c r="M25" s="4">
        <v>1032.416666666667</v>
      </c>
      <c r="N25" s="6">
        <f t="shared" si="0"/>
        <v>-5.2000000000000657E-4</v>
      </c>
      <c r="O25" s="5">
        <f t="shared" si="1"/>
        <v>-7.4734118999713051E-3</v>
      </c>
      <c r="P25" s="5">
        <f t="shared" si="3"/>
        <v>0.50747104059184323</v>
      </c>
      <c r="Q25">
        <f t="shared" si="8"/>
        <v>0</v>
      </c>
      <c r="R25">
        <f t="shared" si="9"/>
        <v>0</v>
      </c>
    </row>
    <row r="26" spans="1:18" x14ac:dyDescent="0.3">
      <c r="A26" t="s">
        <v>81</v>
      </c>
      <c r="B26" t="s">
        <v>82</v>
      </c>
      <c r="C26" t="s">
        <v>11</v>
      </c>
      <c r="D26" t="s">
        <v>12</v>
      </c>
      <c r="E26" t="s">
        <v>13</v>
      </c>
      <c r="F26" t="s">
        <v>28</v>
      </c>
      <c r="G26" t="s">
        <v>15</v>
      </c>
      <c r="H26">
        <v>3185</v>
      </c>
      <c r="I26" t="s">
        <v>16</v>
      </c>
      <c r="J26" s="10">
        <v>6.726E-2</v>
      </c>
      <c r="K26" s="10">
        <v>5.4899999999999997E-2</v>
      </c>
      <c r="L26" s="4">
        <v>414.01666666666671</v>
      </c>
      <c r="M26" s="4">
        <v>593.18333333333328</v>
      </c>
      <c r="N26" s="6">
        <f t="shared" si="0"/>
        <v>-1.2360000000000003E-2</v>
      </c>
      <c r="O26" s="5">
        <f t="shared" si="1"/>
        <v>-0.18376449598572708</v>
      </c>
      <c r="P26" s="5">
        <f t="shared" si="3"/>
        <v>0.43275230465762227</v>
      </c>
      <c r="Q26">
        <f t="shared" si="8"/>
        <v>0</v>
      </c>
      <c r="R26">
        <f t="shared" si="9"/>
        <v>0</v>
      </c>
    </row>
    <row r="27" spans="1:18" x14ac:dyDescent="0.3">
      <c r="A27" t="s">
        <v>26</v>
      </c>
      <c r="B27" t="s">
        <v>27</v>
      </c>
      <c r="C27" t="s">
        <v>11</v>
      </c>
      <c r="D27" t="s">
        <v>12</v>
      </c>
      <c r="E27" t="s">
        <v>19</v>
      </c>
      <c r="F27" t="s">
        <v>28</v>
      </c>
      <c r="G27" t="s">
        <v>15</v>
      </c>
      <c r="H27">
        <v>4798</v>
      </c>
      <c r="I27" t="s">
        <v>16</v>
      </c>
      <c r="J27" s="10">
        <v>3.7560000000000003E-2</v>
      </c>
      <c r="K27" s="10">
        <v>5.058E-2</v>
      </c>
      <c r="L27" s="4">
        <v>310.18333333333328</v>
      </c>
      <c r="M27" s="4">
        <v>431.53333333333342</v>
      </c>
      <c r="N27" s="6">
        <f t="shared" si="0"/>
        <v>1.3019999999999997E-2</v>
      </c>
      <c r="O27" s="5">
        <f t="shared" si="1"/>
        <v>0.34664536741214036</v>
      </c>
      <c r="P27" s="5">
        <f t="shared" si="3"/>
        <v>0.39122024609102191</v>
      </c>
      <c r="Q27">
        <f t="shared" si="8"/>
        <v>1</v>
      </c>
      <c r="R27">
        <f t="shared" si="9"/>
        <v>1</v>
      </c>
    </row>
    <row r="28" spans="1:18" x14ac:dyDescent="0.3">
      <c r="A28" t="s">
        <v>200</v>
      </c>
      <c r="B28" t="s">
        <v>201</v>
      </c>
      <c r="C28" t="s">
        <v>78</v>
      </c>
      <c r="D28" t="s">
        <v>12</v>
      </c>
      <c r="E28" t="s">
        <v>193</v>
      </c>
      <c r="F28" t="s">
        <v>194</v>
      </c>
      <c r="G28" t="s">
        <v>194</v>
      </c>
      <c r="H28">
        <v>554</v>
      </c>
      <c r="I28" t="s">
        <v>16</v>
      </c>
      <c r="J28" s="10">
        <v>7.1160000000000001E-2</v>
      </c>
      <c r="K28" s="10">
        <v>0.01</v>
      </c>
      <c r="L28" s="4">
        <v>33.68333333333333</v>
      </c>
      <c r="M28" s="4">
        <v>45.81666666666667</v>
      </c>
      <c r="N28" s="6">
        <f t="shared" si="0"/>
        <v>-6.1159999999999999E-2</v>
      </c>
      <c r="O28" s="5">
        <f t="shared" si="1"/>
        <v>-0.85947161326587973</v>
      </c>
      <c r="P28" s="5">
        <f t="shared" si="3"/>
        <v>0.36021771400296898</v>
      </c>
      <c r="Q28">
        <f t="shared" si="8"/>
        <v>0</v>
      </c>
      <c r="R28">
        <f t="shared" si="9"/>
        <v>0</v>
      </c>
    </row>
    <row r="29" spans="1:18" x14ac:dyDescent="0.3">
      <c r="A29" t="s">
        <v>219</v>
      </c>
      <c r="B29" t="s">
        <v>220</v>
      </c>
      <c r="C29" t="s">
        <v>78</v>
      </c>
      <c r="D29" t="s">
        <v>12</v>
      </c>
      <c r="E29" t="s">
        <v>197</v>
      </c>
      <c r="F29" t="s">
        <v>194</v>
      </c>
      <c r="G29" t="s">
        <v>194</v>
      </c>
      <c r="H29">
        <v>1138</v>
      </c>
      <c r="I29" t="s">
        <v>16</v>
      </c>
      <c r="J29" s="10">
        <v>8.4460000000000007E-2</v>
      </c>
      <c r="K29" s="10">
        <v>0.16112000000000001</v>
      </c>
      <c r="L29" s="4">
        <v>15</v>
      </c>
      <c r="M29" s="4">
        <v>20.25</v>
      </c>
      <c r="N29" s="6">
        <f t="shared" si="0"/>
        <v>7.6660000000000006E-2</v>
      </c>
      <c r="O29" s="5">
        <f t="shared" si="1"/>
        <v>0.90764859104901729</v>
      </c>
      <c r="P29" s="5">
        <f t="shared" si="3"/>
        <v>0.35000000000000009</v>
      </c>
      <c r="Q29">
        <f t="shared" si="8"/>
        <v>1</v>
      </c>
      <c r="R29">
        <f t="shared" si="9"/>
        <v>1</v>
      </c>
    </row>
    <row r="30" spans="1:18" x14ac:dyDescent="0.3">
      <c r="A30" t="s">
        <v>163</v>
      </c>
      <c r="B30" t="s">
        <v>162</v>
      </c>
      <c r="C30" t="s">
        <v>11</v>
      </c>
      <c r="D30" t="s">
        <v>22</v>
      </c>
      <c r="E30" t="s">
        <v>13</v>
      </c>
      <c r="F30" t="s">
        <v>51</v>
      </c>
      <c r="G30" t="s">
        <v>24</v>
      </c>
      <c r="H30">
        <v>2074</v>
      </c>
      <c r="I30" t="s">
        <v>122</v>
      </c>
      <c r="J30" s="10">
        <v>3.1419999999999997E-2</v>
      </c>
      <c r="K30" s="10">
        <v>1.8259999999999998E-2</v>
      </c>
      <c r="L30" s="4">
        <v>140.51666666666671</v>
      </c>
      <c r="M30" s="4">
        <v>180.35</v>
      </c>
      <c r="N30" s="6">
        <f t="shared" si="0"/>
        <v>-1.3159999999999998E-2</v>
      </c>
      <c r="O30" s="5">
        <f t="shared" si="1"/>
        <v>-0.4188415022278803</v>
      </c>
      <c r="P30" s="5">
        <f t="shared" si="3"/>
        <v>0.28347764203534531</v>
      </c>
      <c r="Q30">
        <f t="shared" si="8"/>
        <v>0</v>
      </c>
      <c r="R30">
        <f t="shared" si="9"/>
        <v>0</v>
      </c>
    </row>
    <row r="31" spans="1:18" x14ac:dyDescent="0.3">
      <c r="A31" t="s">
        <v>131</v>
      </c>
      <c r="B31" t="s">
        <v>132</v>
      </c>
      <c r="C31" t="s">
        <v>11</v>
      </c>
      <c r="D31" t="s">
        <v>12</v>
      </c>
      <c r="E31" t="s">
        <v>19</v>
      </c>
      <c r="F31" t="s">
        <v>14</v>
      </c>
      <c r="G31" t="s">
        <v>15</v>
      </c>
      <c r="H31">
        <v>3863</v>
      </c>
      <c r="I31" t="s">
        <v>16</v>
      </c>
      <c r="J31" s="10">
        <v>5.9479999999999998E-2</v>
      </c>
      <c r="K31" s="10">
        <v>8.226E-2</v>
      </c>
      <c r="L31" s="4">
        <v>804.36666666666667</v>
      </c>
      <c r="M31" s="4">
        <v>1018.266666666667</v>
      </c>
      <c r="N31" s="6">
        <f t="shared" si="0"/>
        <v>2.2780000000000002E-2</v>
      </c>
      <c r="O31" s="5">
        <f t="shared" si="1"/>
        <v>0.38298587760591807</v>
      </c>
      <c r="P31" s="5">
        <f t="shared" si="3"/>
        <v>0.26592350089097061</v>
      </c>
      <c r="Q31">
        <f t="shared" si="8"/>
        <v>1</v>
      </c>
      <c r="R31">
        <f t="shared" si="9"/>
        <v>1</v>
      </c>
    </row>
    <row r="32" spans="1:18" x14ac:dyDescent="0.3">
      <c r="A32" t="s">
        <v>99</v>
      </c>
      <c r="B32" t="s">
        <v>100</v>
      </c>
      <c r="C32" t="s">
        <v>11</v>
      </c>
      <c r="D32" t="s">
        <v>12</v>
      </c>
      <c r="E32" t="s">
        <v>19</v>
      </c>
      <c r="F32" t="s">
        <v>69</v>
      </c>
      <c r="G32" t="s">
        <v>15</v>
      </c>
      <c r="H32">
        <v>5675</v>
      </c>
      <c r="I32" t="s">
        <v>16</v>
      </c>
      <c r="J32" s="10">
        <v>7.5459999999999999E-2</v>
      </c>
      <c r="K32" s="10">
        <v>9.5599999999999991E-2</v>
      </c>
      <c r="L32" s="4">
        <v>178.43333333333331</v>
      </c>
      <c r="M32" s="4">
        <v>223.7</v>
      </c>
      <c r="N32" s="6">
        <f t="shared" si="0"/>
        <v>2.0139999999999991E-2</v>
      </c>
      <c r="O32" s="5">
        <f t="shared" si="1"/>
        <v>0.26689636893718505</v>
      </c>
      <c r="P32" s="5">
        <f t="shared" si="3"/>
        <v>0.25368951989538591</v>
      </c>
      <c r="Q32">
        <f t="shared" si="8"/>
        <v>1</v>
      </c>
      <c r="R32">
        <f t="shared" si="9"/>
        <v>1</v>
      </c>
    </row>
    <row r="33" spans="1:18" x14ac:dyDescent="0.3">
      <c r="A33" t="s">
        <v>244</v>
      </c>
      <c r="B33" t="s">
        <v>245</v>
      </c>
      <c r="C33" t="s">
        <v>11</v>
      </c>
      <c r="D33" t="s">
        <v>12</v>
      </c>
      <c r="E33" t="s">
        <v>209</v>
      </c>
      <c r="F33" t="s">
        <v>79</v>
      </c>
      <c r="G33" t="s">
        <v>80</v>
      </c>
      <c r="H33">
        <v>2095</v>
      </c>
      <c r="I33" t="s">
        <v>16</v>
      </c>
      <c r="J33" s="10">
        <v>7.3619999999999991E-2</v>
      </c>
      <c r="K33" s="10">
        <v>9.1800000000000007E-2</v>
      </c>
      <c r="L33" s="4">
        <v>356.5</v>
      </c>
      <c r="M33" s="4">
        <v>440.86666666666667</v>
      </c>
      <c r="N33" s="6">
        <f t="shared" si="0"/>
        <v>1.8180000000000016E-2</v>
      </c>
      <c r="O33" s="5">
        <f t="shared" si="1"/>
        <v>0.2469437652811739</v>
      </c>
      <c r="P33" s="5">
        <f t="shared" si="3"/>
        <v>0.23665264142122489</v>
      </c>
      <c r="Q33">
        <f t="shared" si="8"/>
        <v>1</v>
      </c>
      <c r="R33">
        <f t="shared" si="9"/>
        <v>1</v>
      </c>
    </row>
    <row r="34" spans="1:18" x14ac:dyDescent="0.3">
      <c r="A34" t="s">
        <v>257</v>
      </c>
      <c r="B34" t="s">
        <v>258</v>
      </c>
      <c r="C34" t="s">
        <v>254</v>
      </c>
      <c r="D34" t="s">
        <v>12</v>
      </c>
      <c r="E34" t="s">
        <v>259</v>
      </c>
      <c r="F34" t="s">
        <v>256</v>
      </c>
      <c r="G34" t="s">
        <v>256</v>
      </c>
      <c r="H34">
        <v>1238</v>
      </c>
      <c r="I34" t="s">
        <v>16</v>
      </c>
      <c r="J34" s="6">
        <v>7.7899999999999997E-2</v>
      </c>
      <c r="K34" s="6">
        <v>7.6999999999999999E-2</v>
      </c>
      <c r="L34" s="4">
        <v>172.98333333333329</v>
      </c>
      <c r="M34" s="4">
        <v>209.95</v>
      </c>
      <c r="N34" s="6">
        <f t="shared" ref="N34:N65" si="10">+K34-J34</f>
        <v>-8.9999999999999802E-4</v>
      </c>
      <c r="O34" s="5">
        <f t="shared" ref="O34:O65" si="11">+K34/J34-1</f>
        <v>-1.1553273427471145E-2</v>
      </c>
      <c r="P34" s="5">
        <f t="shared" ref="P34:P65" si="12">+M34/L34-1</f>
        <v>0.21370074188264798</v>
      </c>
      <c r="Q34">
        <f>+IFERROR(IF(AND(N34&gt;2%, O34&gt;20%),1,0),0)</f>
        <v>0</v>
      </c>
      <c r="R34">
        <f t="shared" si="2"/>
        <v>0</v>
      </c>
    </row>
    <row r="35" spans="1:18" x14ac:dyDescent="0.3">
      <c r="A35" t="s">
        <v>141</v>
      </c>
      <c r="B35" t="s">
        <v>142</v>
      </c>
      <c r="C35" t="s">
        <v>11</v>
      </c>
      <c r="D35" t="s">
        <v>12</v>
      </c>
      <c r="E35" t="s">
        <v>19</v>
      </c>
      <c r="F35" t="s">
        <v>69</v>
      </c>
      <c r="G35" t="s">
        <v>15</v>
      </c>
      <c r="H35">
        <v>3484</v>
      </c>
      <c r="I35" t="s">
        <v>16</v>
      </c>
      <c r="J35" s="10">
        <v>6.9159999999999999E-2</v>
      </c>
      <c r="K35" s="10">
        <v>0.10066</v>
      </c>
      <c r="L35" s="4">
        <v>530.38333333333333</v>
      </c>
      <c r="M35" s="4">
        <v>630.95000000000005</v>
      </c>
      <c r="N35" s="6">
        <f t="shared" si="10"/>
        <v>3.15E-2</v>
      </c>
      <c r="O35" s="5">
        <f t="shared" si="11"/>
        <v>0.45546558704453433</v>
      </c>
      <c r="P35" s="5">
        <f t="shared" si="12"/>
        <v>0.18961128743361733</v>
      </c>
      <c r="Q35">
        <f>+IFERROR(IF(AND(N35&gt;1%, O35&gt;10%, K35&gt;=3%),1,0),0)</f>
        <v>1</v>
      </c>
      <c r="R35">
        <f>+IFERROR(IF(AND(Q35=1, P35&gt;10%),1,0),0)</f>
        <v>1</v>
      </c>
    </row>
    <row r="36" spans="1:18" x14ac:dyDescent="0.3">
      <c r="A36" t="s">
        <v>270</v>
      </c>
      <c r="B36" t="s">
        <v>271</v>
      </c>
      <c r="C36" t="s">
        <v>254</v>
      </c>
      <c r="D36" t="s">
        <v>12</v>
      </c>
      <c r="E36" t="s">
        <v>259</v>
      </c>
      <c r="F36" t="s">
        <v>256</v>
      </c>
      <c r="G36" t="s">
        <v>256</v>
      </c>
      <c r="H36">
        <v>920</v>
      </c>
      <c r="I36" t="s">
        <v>16</v>
      </c>
      <c r="J36" s="6">
        <v>5.6460000000000003E-2</v>
      </c>
      <c r="K36" s="6">
        <v>5.4239999999999997E-2</v>
      </c>
      <c r="L36" s="4">
        <v>397.66666666666669</v>
      </c>
      <c r="M36" s="4">
        <v>451.8</v>
      </c>
      <c r="N36" s="6">
        <f t="shared" si="10"/>
        <v>-2.2200000000000067E-3</v>
      </c>
      <c r="O36" s="5">
        <f t="shared" si="11"/>
        <v>-3.9319872476089368E-2</v>
      </c>
      <c r="P36" s="5">
        <f t="shared" si="12"/>
        <v>0.136127409891031</v>
      </c>
      <c r="Q36">
        <f>+IFERROR(IF(AND(N36&gt;2%, O36&gt;20%),1,0),0)</f>
        <v>0</v>
      </c>
      <c r="R36">
        <f t="shared" si="2"/>
        <v>0</v>
      </c>
    </row>
    <row r="37" spans="1:18" x14ac:dyDescent="0.3">
      <c r="A37" t="s">
        <v>235</v>
      </c>
      <c r="B37" t="s">
        <v>236</v>
      </c>
      <c r="C37" t="s">
        <v>78</v>
      </c>
      <c r="D37" t="s">
        <v>12</v>
      </c>
      <c r="E37" t="s">
        <v>13</v>
      </c>
      <c r="F37" t="s">
        <v>79</v>
      </c>
      <c r="G37" t="s">
        <v>80</v>
      </c>
      <c r="H37">
        <v>1431</v>
      </c>
      <c r="I37" t="s">
        <v>16</v>
      </c>
      <c r="J37" s="10">
        <v>6.5700000000000008E-2</v>
      </c>
      <c r="K37" s="10">
        <v>6.5780000000000005E-2</v>
      </c>
      <c r="L37" s="4">
        <v>222.5</v>
      </c>
      <c r="M37" s="4">
        <v>247.3833333333333</v>
      </c>
      <c r="N37" s="6">
        <f t="shared" si="10"/>
        <v>7.999999999999674E-5</v>
      </c>
      <c r="O37" s="5">
        <f t="shared" si="11"/>
        <v>1.2176560121766045E-3</v>
      </c>
      <c r="P37" s="5">
        <f t="shared" si="12"/>
        <v>0.11183520599250918</v>
      </c>
      <c r="Q37">
        <f t="shared" ref="Q37:Q40" si="13">+IFERROR(IF(AND(N37&gt;1%, O37&gt;10%, K37&gt;=3%),1,0),0)</f>
        <v>0</v>
      </c>
      <c r="R37">
        <f t="shared" ref="R37:R40" si="14">+IFERROR(IF(AND(Q37=1, P37&gt;10%),1,0),0)</f>
        <v>0</v>
      </c>
    </row>
    <row r="38" spans="1:18" x14ac:dyDescent="0.3">
      <c r="A38" t="s">
        <v>147</v>
      </c>
      <c r="B38" t="s">
        <v>148</v>
      </c>
      <c r="C38" t="s">
        <v>11</v>
      </c>
      <c r="D38" t="s">
        <v>12</v>
      </c>
      <c r="E38" t="s">
        <v>19</v>
      </c>
      <c r="F38" t="s">
        <v>28</v>
      </c>
      <c r="G38" t="s">
        <v>15</v>
      </c>
      <c r="H38">
        <v>5030</v>
      </c>
      <c r="I38" t="s">
        <v>16</v>
      </c>
      <c r="J38" s="9">
        <v>2.7720000000000002E-2</v>
      </c>
      <c r="K38" s="9">
        <v>6.0440000000000008E-2</v>
      </c>
      <c r="L38" s="4">
        <v>428.6</v>
      </c>
      <c r="M38" s="4">
        <v>470.63333333333333</v>
      </c>
      <c r="N38" s="6">
        <f t="shared" si="10"/>
        <v>3.2720000000000006E-2</v>
      </c>
      <c r="O38" s="5">
        <f t="shared" si="11"/>
        <v>1.1803751803751807</v>
      </c>
      <c r="P38" s="5">
        <f t="shared" si="12"/>
        <v>9.8071239695131318E-2</v>
      </c>
      <c r="Q38">
        <f t="shared" si="13"/>
        <v>1</v>
      </c>
      <c r="R38">
        <f t="shared" si="14"/>
        <v>0</v>
      </c>
    </row>
    <row r="39" spans="1:18" x14ac:dyDescent="0.3">
      <c r="A39" t="s">
        <v>137</v>
      </c>
      <c r="B39" t="s">
        <v>138</v>
      </c>
      <c r="C39" t="s">
        <v>11</v>
      </c>
      <c r="D39" t="s">
        <v>12</v>
      </c>
      <c r="E39" t="s">
        <v>13</v>
      </c>
      <c r="F39" t="s">
        <v>14</v>
      </c>
      <c r="G39" t="s">
        <v>15</v>
      </c>
      <c r="H39">
        <v>1935</v>
      </c>
      <c r="I39" t="s">
        <v>16</v>
      </c>
      <c r="J39" s="9">
        <v>2.494E-2</v>
      </c>
      <c r="K39" s="9">
        <v>8.2000000000000003E-2</v>
      </c>
      <c r="L39" s="4">
        <v>137.51666666666671</v>
      </c>
      <c r="M39" s="4">
        <v>144.16666666666671</v>
      </c>
      <c r="N39" s="6">
        <f t="shared" si="10"/>
        <v>5.706E-2</v>
      </c>
      <c r="O39" s="5">
        <f t="shared" si="11"/>
        <v>2.2878909382518042</v>
      </c>
      <c r="P39" s="5">
        <f t="shared" si="12"/>
        <v>4.8357774815174004E-2</v>
      </c>
      <c r="Q39">
        <f t="shared" si="13"/>
        <v>1</v>
      </c>
      <c r="R39">
        <f t="shared" si="14"/>
        <v>0</v>
      </c>
    </row>
    <row r="40" spans="1:18" x14ac:dyDescent="0.3">
      <c r="A40" t="s">
        <v>39</v>
      </c>
      <c r="B40" t="s">
        <v>40</v>
      </c>
      <c r="C40" t="s">
        <v>11</v>
      </c>
      <c r="D40" t="s">
        <v>22</v>
      </c>
      <c r="E40" t="s">
        <v>19</v>
      </c>
      <c r="F40" t="s">
        <v>32</v>
      </c>
      <c r="G40" t="s">
        <v>24</v>
      </c>
      <c r="H40">
        <v>3685</v>
      </c>
      <c r="I40" t="s">
        <v>41</v>
      </c>
      <c r="J40" s="9">
        <v>2.6360000000000001E-2</v>
      </c>
      <c r="K40" s="9">
        <v>5.9880000000000003E-2</v>
      </c>
      <c r="L40" s="4">
        <v>346.53333333333342</v>
      </c>
      <c r="M40" s="4">
        <v>358.35</v>
      </c>
      <c r="N40" s="6">
        <f t="shared" si="10"/>
        <v>3.3520000000000001E-2</v>
      </c>
      <c r="O40" s="5">
        <f t="shared" si="11"/>
        <v>1.2716236722306524</v>
      </c>
      <c r="P40" s="5">
        <f t="shared" si="12"/>
        <v>3.4099653712966305E-2</v>
      </c>
      <c r="Q40">
        <f t="shared" si="13"/>
        <v>1</v>
      </c>
      <c r="R40">
        <f t="shared" si="14"/>
        <v>0</v>
      </c>
    </row>
    <row r="41" spans="1:18" x14ac:dyDescent="0.3">
      <c r="A41" t="s">
        <v>266</v>
      </c>
      <c r="B41" t="s">
        <v>267</v>
      </c>
      <c r="C41" t="s">
        <v>254</v>
      </c>
      <c r="D41" t="s">
        <v>12</v>
      </c>
      <c r="E41" t="s">
        <v>259</v>
      </c>
      <c r="F41" t="s">
        <v>256</v>
      </c>
      <c r="G41" t="s">
        <v>256</v>
      </c>
      <c r="H41">
        <v>918</v>
      </c>
      <c r="I41" t="s">
        <v>16</v>
      </c>
      <c r="J41" s="6">
        <v>7.1580000000000005E-2</v>
      </c>
      <c r="K41" s="6">
        <v>0.10163999999999999</v>
      </c>
      <c r="L41" s="4">
        <v>94.55</v>
      </c>
      <c r="M41" s="4">
        <v>95.816666666666663</v>
      </c>
      <c r="N41" s="6">
        <f t="shared" si="10"/>
        <v>3.005999999999999E-2</v>
      </c>
      <c r="O41" s="5">
        <f t="shared" si="11"/>
        <v>0.41994970662196129</v>
      </c>
      <c r="P41" s="5">
        <f t="shared" si="12"/>
        <v>1.339679182090614E-2</v>
      </c>
      <c r="Q41">
        <f>+IFERROR(IF(AND(N41&gt;2%, O41&gt;20%),1,0),0)</f>
        <v>1</v>
      </c>
      <c r="R41">
        <f t="shared" si="2"/>
        <v>0</v>
      </c>
    </row>
    <row r="42" spans="1:18" x14ac:dyDescent="0.3">
      <c r="A42" t="s">
        <v>139</v>
      </c>
      <c r="B42" t="s">
        <v>140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>
        <v>2511</v>
      </c>
      <c r="I42" t="s">
        <v>16</v>
      </c>
      <c r="J42" s="9">
        <v>9.5639999999999989E-2</v>
      </c>
      <c r="K42" s="9">
        <v>0.14133999999999999</v>
      </c>
      <c r="L42" s="4">
        <v>525.35</v>
      </c>
      <c r="M42" s="4">
        <v>525.66666666666663</v>
      </c>
      <c r="N42" s="6">
        <f t="shared" si="10"/>
        <v>4.5700000000000005E-2</v>
      </c>
      <c r="O42" s="5">
        <f t="shared" si="11"/>
        <v>0.47783354245085752</v>
      </c>
      <c r="P42" s="5">
        <f t="shared" si="12"/>
        <v>6.027727546713546E-4</v>
      </c>
      <c r="Q42">
        <f t="shared" ref="Q42:Q65" si="15">+IFERROR(IF(AND(N42&gt;1%, O42&gt;10%, K42&gt;=3%),1,0),0)</f>
        <v>1</v>
      </c>
      <c r="R42">
        <f t="shared" ref="R42:R65" si="16">+IFERROR(IF(AND(Q42=1, P42&gt;10%),1,0),0)</f>
        <v>0</v>
      </c>
    </row>
    <row r="43" spans="1:18" x14ac:dyDescent="0.3">
      <c r="A43" t="s">
        <v>94</v>
      </c>
      <c r="B43" t="s">
        <v>95</v>
      </c>
      <c r="C43" t="s">
        <v>11</v>
      </c>
      <c r="D43" t="s">
        <v>22</v>
      </c>
      <c r="E43" t="s">
        <v>19</v>
      </c>
      <c r="F43" t="s">
        <v>23</v>
      </c>
      <c r="G43" t="s">
        <v>24</v>
      </c>
      <c r="H43">
        <v>3772</v>
      </c>
      <c r="I43" t="s">
        <v>96</v>
      </c>
      <c r="J43" s="9">
        <v>4.6679999999999999E-2</v>
      </c>
      <c r="K43" s="9">
        <v>6.8779999999999994E-2</v>
      </c>
      <c r="L43" s="4">
        <v>793.2</v>
      </c>
      <c r="M43" s="4">
        <v>776.75</v>
      </c>
      <c r="N43" s="6">
        <f t="shared" si="10"/>
        <v>2.2099999999999995E-2</v>
      </c>
      <c r="O43" s="5">
        <f t="shared" si="11"/>
        <v>0.4734361610968294</v>
      </c>
      <c r="P43" s="5">
        <f t="shared" si="12"/>
        <v>-2.073877962682813E-2</v>
      </c>
      <c r="Q43">
        <f t="shared" si="15"/>
        <v>1</v>
      </c>
      <c r="R43">
        <f t="shared" si="16"/>
        <v>0</v>
      </c>
    </row>
    <row r="44" spans="1:18" x14ac:dyDescent="0.3">
      <c r="A44" t="s">
        <v>173</v>
      </c>
      <c r="B44" t="s">
        <v>174</v>
      </c>
      <c r="C44" t="s">
        <v>11</v>
      </c>
      <c r="D44" t="s">
        <v>22</v>
      </c>
      <c r="E44" t="s">
        <v>19</v>
      </c>
      <c r="F44" t="s">
        <v>32</v>
      </c>
      <c r="G44" t="s">
        <v>24</v>
      </c>
      <c r="H44">
        <v>3638</v>
      </c>
      <c r="I44" t="s">
        <v>175</v>
      </c>
      <c r="J44" s="10">
        <v>4.8860000000000001E-2</v>
      </c>
      <c r="K44" s="10">
        <v>3.5580000000000001E-2</v>
      </c>
      <c r="L44" s="4">
        <v>407.13333333333333</v>
      </c>
      <c r="M44" s="4">
        <v>397.36666666666667</v>
      </c>
      <c r="N44" s="6">
        <f t="shared" si="10"/>
        <v>-1.328E-2</v>
      </c>
      <c r="O44" s="5">
        <f t="shared" si="11"/>
        <v>-0.2717969709373721</v>
      </c>
      <c r="P44" s="5">
        <f t="shared" si="12"/>
        <v>-2.3988865236613699E-2</v>
      </c>
      <c r="Q44">
        <f t="shared" si="15"/>
        <v>0</v>
      </c>
      <c r="R44">
        <f t="shared" si="16"/>
        <v>0</v>
      </c>
    </row>
    <row r="45" spans="1:18" x14ac:dyDescent="0.3">
      <c r="A45" t="s">
        <v>53</v>
      </c>
      <c r="B45" t="s">
        <v>278</v>
      </c>
      <c r="C45" t="str">
        <f>+VLOOKUP(B45,[1]Sheet1!$A:$R,2,FALSE)</f>
        <v>PLAZA VEA</v>
      </c>
      <c r="D45" t="str">
        <f>+VLOOKUP(B45,[1]Sheet1!$A:$R,3,FALSE)</f>
        <v>Provincia</v>
      </c>
      <c r="E45" t="str">
        <f>+VLOOKUP(B45,[1]Sheet1!$A:$R,15,FALSE)</f>
        <v>BC3</v>
      </c>
      <c r="F45" t="str">
        <f>+VLOOKUP(B45,[1]Sheet1!$A:$R,9,FALSE)</f>
        <v>MELANY ALVARADO</v>
      </c>
      <c r="G45" t="str">
        <f>+VLOOKUP(B45,[1]Sheet1!$A:$R,10,FALSE)</f>
        <v>Sofía Villanueva</v>
      </c>
      <c r="H45">
        <f>+VLOOKUP(B45,[1]Sheet1!$A:$R,13,FALSE)</f>
        <v>4314</v>
      </c>
      <c r="I45" t="str">
        <f>+VLOOKUP(B45,[1]Sheet1!$A:$R,16,FALSE)</f>
        <v>Lambayeque</v>
      </c>
      <c r="J45" s="9">
        <v>2.146E-2</v>
      </c>
      <c r="K45" s="9">
        <v>6.1940000000000002E-2</v>
      </c>
      <c r="L45" s="4">
        <v>434.65</v>
      </c>
      <c r="M45" s="4">
        <v>415.58333333333331</v>
      </c>
      <c r="N45" s="6">
        <f t="shared" si="10"/>
        <v>4.0480000000000002E-2</v>
      </c>
      <c r="O45" s="5">
        <f t="shared" si="11"/>
        <v>1.8863000931966449</v>
      </c>
      <c r="P45" s="5">
        <f t="shared" si="12"/>
        <v>-4.386671268070097E-2</v>
      </c>
      <c r="Q45">
        <f t="shared" si="15"/>
        <v>1</v>
      </c>
      <c r="R45">
        <f t="shared" si="16"/>
        <v>0</v>
      </c>
    </row>
    <row r="46" spans="1:18" x14ac:dyDescent="0.3">
      <c r="A46" t="s">
        <v>204</v>
      </c>
      <c r="B46" t="s">
        <v>205</v>
      </c>
      <c r="C46" t="s">
        <v>11</v>
      </c>
      <c r="D46" t="s">
        <v>22</v>
      </c>
      <c r="E46" t="s">
        <v>19</v>
      </c>
      <c r="F46" t="s">
        <v>23</v>
      </c>
      <c r="G46" t="s">
        <v>24</v>
      </c>
      <c r="H46">
        <v>4844</v>
      </c>
      <c r="I46" t="s">
        <v>206</v>
      </c>
      <c r="J46" s="9">
        <v>8.3499999999999991E-2</v>
      </c>
      <c r="K46" s="9">
        <v>9.4560000000000005E-2</v>
      </c>
      <c r="L46" s="4">
        <v>415.01666666666671</v>
      </c>
      <c r="M46" s="4">
        <v>393.51666666666671</v>
      </c>
      <c r="N46" s="6">
        <f t="shared" si="10"/>
        <v>1.1060000000000014E-2</v>
      </c>
      <c r="O46" s="5">
        <f t="shared" si="11"/>
        <v>0.13245508982035936</v>
      </c>
      <c r="P46" s="5">
        <f t="shared" si="12"/>
        <v>-5.1805148387614963E-2</v>
      </c>
      <c r="Q46">
        <f t="shared" si="15"/>
        <v>1</v>
      </c>
      <c r="R46">
        <f t="shared" si="16"/>
        <v>0</v>
      </c>
    </row>
    <row r="47" spans="1:18" x14ac:dyDescent="0.3">
      <c r="A47" t="s">
        <v>47</v>
      </c>
      <c r="B47" t="s">
        <v>48</v>
      </c>
      <c r="C47" t="s">
        <v>11</v>
      </c>
      <c r="D47" t="s">
        <v>12</v>
      </c>
      <c r="E47" t="s">
        <v>13</v>
      </c>
      <c r="F47" t="s">
        <v>28</v>
      </c>
      <c r="G47" t="s">
        <v>15</v>
      </c>
      <c r="H47">
        <v>2638</v>
      </c>
      <c r="I47" t="s">
        <v>16</v>
      </c>
      <c r="J47" s="10">
        <v>3.9639999999999988E-2</v>
      </c>
      <c r="K47" s="10">
        <v>4.2520000000000002E-2</v>
      </c>
      <c r="L47" s="4">
        <v>792.35</v>
      </c>
      <c r="M47" s="4">
        <v>733.98333333333335</v>
      </c>
      <c r="N47" s="6">
        <f t="shared" si="10"/>
        <v>2.8800000000000145E-3</v>
      </c>
      <c r="O47" s="5">
        <f t="shared" si="11"/>
        <v>7.2653884964682502E-2</v>
      </c>
      <c r="P47" s="5">
        <f t="shared" si="12"/>
        <v>-7.3662733219747145E-2</v>
      </c>
      <c r="Q47">
        <f t="shared" si="15"/>
        <v>0</v>
      </c>
      <c r="R47">
        <f t="shared" si="16"/>
        <v>0</v>
      </c>
    </row>
    <row r="48" spans="1:18" x14ac:dyDescent="0.3">
      <c r="A48" t="s">
        <v>33</v>
      </c>
      <c r="B48" t="s">
        <v>34</v>
      </c>
      <c r="C48" t="s">
        <v>11</v>
      </c>
      <c r="D48" t="s">
        <v>12</v>
      </c>
      <c r="E48" t="s">
        <v>19</v>
      </c>
      <c r="F48" t="s">
        <v>28</v>
      </c>
      <c r="G48" t="s">
        <v>15</v>
      </c>
      <c r="H48">
        <v>4271</v>
      </c>
      <c r="I48" t="s">
        <v>16</v>
      </c>
      <c r="J48" s="9">
        <v>5.0539999999999988E-2</v>
      </c>
      <c r="K48" s="9">
        <v>7.8100000000000003E-2</v>
      </c>
      <c r="L48" s="4">
        <v>301.55</v>
      </c>
      <c r="M48" s="4">
        <v>277.08333333333331</v>
      </c>
      <c r="N48" s="6">
        <f t="shared" si="10"/>
        <v>2.7560000000000015E-2</v>
      </c>
      <c r="O48" s="5">
        <f t="shared" si="11"/>
        <v>0.54531064503363713</v>
      </c>
      <c r="P48" s="5">
        <f t="shared" si="12"/>
        <v>-8.11363510750015E-2</v>
      </c>
      <c r="Q48">
        <f t="shared" si="15"/>
        <v>1</v>
      </c>
      <c r="R48">
        <f t="shared" si="16"/>
        <v>0</v>
      </c>
    </row>
    <row r="49" spans="1:18" x14ac:dyDescent="0.3">
      <c r="A49" t="s">
        <v>114</v>
      </c>
      <c r="B49" t="s">
        <v>115</v>
      </c>
      <c r="C49" t="s">
        <v>11</v>
      </c>
      <c r="D49" t="s">
        <v>12</v>
      </c>
      <c r="E49" t="s">
        <v>68</v>
      </c>
      <c r="F49" t="s">
        <v>69</v>
      </c>
      <c r="G49" t="s">
        <v>15</v>
      </c>
      <c r="H49">
        <v>4439</v>
      </c>
      <c r="I49" t="s">
        <v>16</v>
      </c>
      <c r="J49" s="9">
        <v>8.7739999999999999E-2</v>
      </c>
      <c r="K49" s="9">
        <v>0.1065</v>
      </c>
      <c r="L49" s="4">
        <v>668.11666666666667</v>
      </c>
      <c r="M49" s="4">
        <v>609.45000000000005</v>
      </c>
      <c r="N49" s="6">
        <f t="shared" si="10"/>
        <v>1.8759999999999999E-2</v>
      </c>
      <c r="O49" s="5">
        <f t="shared" si="11"/>
        <v>0.21381354000455888</v>
      </c>
      <c r="P49" s="5">
        <f t="shared" si="12"/>
        <v>-8.7809015391523415E-2</v>
      </c>
      <c r="Q49">
        <f t="shared" si="15"/>
        <v>1</v>
      </c>
      <c r="R49">
        <f t="shared" si="16"/>
        <v>0</v>
      </c>
    </row>
    <row r="50" spans="1:18" x14ac:dyDescent="0.3">
      <c r="A50" t="s">
        <v>135</v>
      </c>
      <c r="B50" t="s">
        <v>136</v>
      </c>
      <c r="C50" t="s">
        <v>11</v>
      </c>
      <c r="D50" t="s">
        <v>12</v>
      </c>
      <c r="E50" t="s">
        <v>19</v>
      </c>
      <c r="F50" t="s">
        <v>28</v>
      </c>
      <c r="G50" t="s">
        <v>15</v>
      </c>
      <c r="H50">
        <v>7079</v>
      </c>
      <c r="I50" t="s">
        <v>16</v>
      </c>
      <c r="J50" s="9">
        <v>4.0640000000000003E-2</v>
      </c>
      <c r="K50" s="9">
        <v>5.6220000000000013E-2</v>
      </c>
      <c r="L50" s="4">
        <v>428.63333333333333</v>
      </c>
      <c r="M50" s="4">
        <v>377.2833333333333</v>
      </c>
      <c r="N50" s="6">
        <f t="shared" si="10"/>
        <v>1.5580000000000011E-2</v>
      </c>
      <c r="O50" s="5">
        <f t="shared" si="11"/>
        <v>0.38336614173228378</v>
      </c>
      <c r="P50" s="5">
        <f t="shared" si="12"/>
        <v>-0.11979936231433241</v>
      </c>
      <c r="Q50">
        <f t="shared" si="15"/>
        <v>1</v>
      </c>
      <c r="R50">
        <f t="shared" si="16"/>
        <v>0</v>
      </c>
    </row>
    <row r="51" spans="1:18" x14ac:dyDescent="0.3">
      <c r="A51" t="s">
        <v>60</v>
      </c>
      <c r="B51" t="s">
        <v>61</v>
      </c>
      <c r="C51" t="s">
        <v>11</v>
      </c>
      <c r="D51" t="s">
        <v>12</v>
      </c>
      <c r="E51" t="s">
        <v>13</v>
      </c>
      <c r="F51" t="s">
        <v>28</v>
      </c>
      <c r="G51" t="s">
        <v>15</v>
      </c>
      <c r="H51">
        <v>2577</v>
      </c>
      <c r="I51" t="s">
        <v>16</v>
      </c>
      <c r="J51" s="10">
        <v>3.014E-2</v>
      </c>
      <c r="K51" s="10">
        <v>3.8980000000000001E-2</v>
      </c>
      <c r="L51" s="4">
        <v>277.88333333333333</v>
      </c>
      <c r="M51" s="4">
        <v>243.3666666666667</v>
      </c>
      <c r="N51" s="6">
        <f t="shared" si="10"/>
        <v>8.8400000000000006E-3</v>
      </c>
      <c r="O51" s="5">
        <f t="shared" si="11"/>
        <v>0.29329794293297939</v>
      </c>
      <c r="P51" s="5">
        <f t="shared" si="12"/>
        <v>-0.12421279913632799</v>
      </c>
      <c r="Q51">
        <f t="shared" si="15"/>
        <v>0</v>
      </c>
      <c r="R51">
        <f t="shared" si="16"/>
        <v>0</v>
      </c>
    </row>
    <row r="52" spans="1:18" x14ac:dyDescent="0.3">
      <c r="A52" t="s">
        <v>178</v>
      </c>
      <c r="B52" t="s">
        <v>179</v>
      </c>
      <c r="C52" t="s">
        <v>11</v>
      </c>
      <c r="D52" t="s">
        <v>22</v>
      </c>
      <c r="E52" t="s">
        <v>19</v>
      </c>
      <c r="F52" t="s">
        <v>32</v>
      </c>
      <c r="G52" t="s">
        <v>24</v>
      </c>
      <c r="H52">
        <v>4112</v>
      </c>
      <c r="I52" t="s">
        <v>180</v>
      </c>
      <c r="J52" s="9">
        <v>2.8879999999999999E-2</v>
      </c>
      <c r="K52" s="9">
        <v>4.394E-2</v>
      </c>
      <c r="L52" s="4">
        <v>1177.0333333333331</v>
      </c>
      <c r="M52" s="4">
        <v>1026.5666666666671</v>
      </c>
      <c r="N52" s="6">
        <f t="shared" si="10"/>
        <v>1.506E-2</v>
      </c>
      <c r="O52" s="5">
        <f t="shared" si="11"/>
        <v>0.5214681440443214</v>
      </c>
      <c r="P52" s="5">
        <f t="shared" si="12"/>
        <v>-0.12783551867689902</v>
      </c>
      <c r="Q52">
        <f t="shared" si="15"/>
        <v>1</v>
      </c>
      <c r="R52">
        <f t="shared" si="16"/>
        <v>0</v>
      </c>
    </row>
    <row r="53" spans="1:18" x14ac:dyDescent="0.3">
      <c r="A53" t="s">
        <v>17</v>
      </c>
      <c r="B53" t="s">
        <v>18</v>
      </c>
      <c r="C53" t="s">
        <v>11</v>
      </c>
      <c r="D53" t="s">
        <v>12</v>
      </c>
      <c r="E53" t="s">
        <v>19</v>
      </c>
      <c r="F53" t="s">
        <v>14</v>
      </c>
      <c r="G53" t="s">
        <v>15</v>
      </c>
      <c r="H53">
        <v>4358</v>
      </c>
      <c r="I53" t="s">
        <v>16</v>
      </c>
      <c r="J53" s="9">
        <v>3.2000000000000001E-2</v>
      </c>
      <c r="K53" s="9">
        <v>5.552E-2</v>
      </c>
      <c r="L53" s="4">
        <v>448.68333333333328</v>
      </c>
      <c r="M53" s="4">
        <v>388.46666666666658</v>
      </c>
      <c r="N53" s="6">
        <f t="shared" si="10"/>
        <v>2.3519999999999999E-2</v>
      </c>
      <c r="O53" s="5">
        <f t="shared" si="11"/>
        <v>0.73499999999999988</v>
      </c>
      <c r="P53" s="5">
        <f t="shared" si="12"/>
        <v>-0.1342074960068349</v>
      </c>
      <c r="Q53">
        <f t="shared" si="15"/>
        <v>1</v>
      </c>
      <c r="R53">
        <f t="shared" si="16"/>
        <v>0</v>
      </c>
    </row>
    <row r="54" spans="1:18" x14ac:dyDescent="0.3">
      <c r="A54" t="s">
        <v>129</v>
      </c>
      <c r="B54" t="s">
        <v>130</v>
      </c>
      <c r="C54" t="s">
        <v>11</v>
      </c>
      <c r="D54" t="s">
        <v>12</v>
      </c>
      <c r="E54" t="s">
        <v>19</v>
      </c>
      <c r="F54" t="s">
        <v>14</v>
      </c>
      <c r="G54" t="s">
        <v>15</v>
      </c>
      <c r="H54">
        <v>5216</v>
      </c>
      <c r="I54" t="s">
        <v>16</v>
      </c>
      <c r="J54" s="10">
        <v>4.3459999999999999E-2</v>
      </c>
      <c r="K54" s="10">
        <v>3.8519999999999999E-2</v>
      </c>
      <c r="L54" s="4">
        <v>200.4</v>
      </c>
      <c r="M54" s="4">
        <v>171.15</v>
      </c>
      <c r="N54" s="6">
        <f t="shared" si="10"/>
        <v>-4.9399999999999999E-3</v>
      </c>
      <c r="O54" s="5">
        <f t="shared" si="11"/>
        <v>-0.11366774045098937</v>
      </c>
      <c r="P54" s="5">
        <f t="shared" si="12"/>
        <v>-0.14595808383233533</v>
      </c>
      <c r="Q54">
        <f t="shared" si="15"/>
        <v>0</v>
      </c>
      <c r="R54">
        <f t="shared" si="16"/>
        <v>0</v>
      </c>
    </row>
    <row r="55" spans="1:18" x14ac:dyDescent="0.3">
      <c r="A55" t="s">
        <v>231</v>
      </c>
      <c r="B55" t="s">
        <v>232</v>
      </c>
      <c r="C55" t="s">
        <v>78</v>
      </c>
      <c r="D55" t="s">
        <v>12</v>
      </c>
      <c r="E55" t="s">
        <v>197</v>
      </c>
      <c r="F55" t="s">
        <v>79</v>
      </c>
      <c r="G55" t="s">
        <v>80</v>
      </c>
      <c r="H55">
        <v>901</v>
      </c>
      <c r="I55" t="s">
        <v>16</v>
      </c>
      <c r="J55" s="9">
        <v>5.1220000000000002E-2</v>
      </c>
      <c r="K55" s="9">
        <v>6.7420000000000008E-2</v>
      </c>
      <c r="L55" s="4">
        <v>119.6333333333333</v>
      </c>
      <c r="M55" s="4">
        <v>99.916666666666657</v>
      </c>
      <c r="N55" s="6">
        <f t="shared" si="10"/>
        <v>1.6200000000000006E-2</v>
      </c>
      <c r="O55" s="5">
        <f t="shared" si="11"/>
        <v>0.31628270206950426</v>
      </c>
      <c r="P55" s="5">
        <f t="shared" si="12"/>
        <v>-0.16480913903594296</v>
      </c>
      <c r="Q55">
        <f t="shared" si="15"/>
        <v>1</v>
      </c>
      <c r="R55">
        <f t="shared" si="16"/>
        <v>0</v>
      </c>
    </row>
    <row r="56" spans="1:18" x14ac:dyDescent="0.3">
      <c r="A56" t="s">
        <v>215</v>
      </c>
      <c r="B56" t="s">
        <v>216</v>
      </c>
      <c r="C56" t="s">
        <v>11</v>
      </c>
      <c r="D56" t="s">
        <v>12</v>
      </c>
      <c r="E56" t="s">
        <v>13</v>
      </c>
      <c r="F56" t="s">
        <v>28</v>
      </c>
      <c r="G56" t="s">
        <v>15</v>
      </c>
      <c r="H56">
        <v>2800</v>
      </c>
      <c r="I56" t="s">
        <v>16</v>
      </c>
      <c r="J56" s="9">
        <v>6.1839999999999992E-2</v>
      </c>
      <c r="K56" s="9">
        <v>8.3000000000000004E-2</v>
      </c>
      <c r="L56" s="4">
        <v>292.25</v>
      </c>
      <c r="M56" s="4">
        <v>243.7833333333333</v>
      </c>
      <c r="N56" s="6">
        <f t="shared" si="10"/>
        <v>2.1160000000000012E-2</v>
      </c>
      <c r="O56" s="5">
        <f t="shared" si="11"/>
        <v>0.34217335058214782</v>
      </c>
      <c r="P56" s="5">
        <f t="shared" si="12"/>
        <v>-0.16583974907328214</v>
      </c>
      <c r="Q56">
        <f t="shared" si="15"/>
        <v>1</v>
      </c>
      <c r="R56">
        <f t="shared" si="16"/>
        <v>0</v>
      </c>
    </row>
    <row r="57" spans="1:18" x14ac:dyDescent="0.3">
      <c r="A57" t="s">
        <v>145</v>
      </c>
      <c r="B57" t="s">
        <v>146</v>
      </c>
      <c r="C57" t="s">
        <v>11</v>
      </c>
      <c r="D57" t="s">
        <v>12</v>
      </c>
      <c r="E57" t="s">
        <v>68</v>
      </c>
      <c r="F57" t="s">
        <v>69</v>
      </c>
      <c r="G57" t="s">
        <v>15</v>
      </c>
      <c r="H57">
        <v>4216</v>
      </c>
      <c r="I57" t="s">
        <v>16</v>
      </c>
      <c r="J57" s="9">
        <v>6.9360000000000005E-2</v>
      </c>
      <c r="K57" s="9">
        <v>8.3159999999999998E-2</v>
      </c>
      <c r="L57" s="4">
        <v>421.05</v>
      </c>
      <c r="M57" s="4">
        <v>351.06666666666672</v>
      </c>
      <c r="N57" s="6">
        <f t="shared" si="10"/>
        <v>1.3799999999999993E-2</v>
      </c>
      <c r="O57" s="5">
        <f t="shared" si="11"/>
        <v>0.1989619377162628</v>
      </c>
      <c r="P57" s="5">
        <f t="shared" si="12"/>
        <v>-0.16621145548826333</v>
      </c>
      <c r="Q57">
        <f t="shared" si="15"/>
        <v>1</v>
      </c>
      <c r="R57">
        <f t="shared" si="16"/>
        <v>0</v>
      </c>
    </row>
    <row r="58" spans="1:18" x14ac:dyDescent="0.3">
      <c r="A58" t="s">
        <v>166</v>
      </c>
      <c r="B58" t="s">
        <v>167</v>
      </c>
      <c r="C58" t="s">
        <v>11</v>
      </c>
      <c r="D58" t="s">
        <v>22</v>
      </c>
      <c r="E58" t="s">
        <v>19</v>
      </c>
      <c r="F58" t="s">
        <v>51</v>
      </c>
      <c r="G58" t="s">
        <v>24</v>
      </c>
      <c r="H58">
        <v>3900</v>
      </c>
      <c r="I58" t="s">
        <v>168</v>
      </c>
      <c r="J58" s="10">
        <v>3.7419999999999988E-2</v>
      </c>
      <c r="K58" s="10">
        <v>4.3740000000000001E-2</v>
      </c>
      <c r="L58" s="4">
        <v>359.91666666666669</v>
      </c>
      <c r="M58" s="4">
        <v>299.85000000000002</v>
      </c>
      <c r="N58" s="6">
        <f t="shared" si="10"/>
        <v>6.3200000000000131E-3</v>
      </c>
      <c r="O58" s="5">
        <f t="shared" si="11"/>
        <v>0.16889363976483196</v>
      </c>
      <c r="P58" s="5">
        <f t="shared" si="12"/>
        <v>-0.16689048390831207</v>
      </c>
      <c r="Q58">
        <f t="shared" si="15"/>
        <v>0</v>
      </c>
      <c r="R58">
        <f t="shared" si="16"/>
        <v>0</v>
      </c>
    </row>
    <row r="59" spans="1:18" x14ac:dyDescent="0.3">
      <c r="A59" t="s">
        <v>195</v>
      </c>
      <c r="B59" t="s">
        <v>196</v>
      </c>
      <c r="C59" t="s">
        <v>78</v>
      </c>
      <c r="D59" t="s">
        <v>12</v>
      </c>
      <c r="E59" t="s">
        <v>197</v>
      </c>
      <c r="F59" t="s">
        <v>79</v>
      </c>
      <c r="G59" t="s">
        <v>80</v>
      </c>
      <c r="H59">
        <v>749</v>
      </c>
      <c r="I59" t="s">
        <v>16</v>
      </c>
      <c r="J59" s="9">
        <v>3.9079999999999997E-2</v>
      </c>
      <c r="K59" s="9">
        <v>5.9819999999999998E-2</v>
      </c>
      <c r="L59" s="4">
        <v>231.01666666666671</v>
      </c>
      <c r="M59" s="4">
        <v>182.85</v>
      </c>
      <c r="N59" s="6">
        <f t="shared" si="10"/>
        <v>2.0740000000000001E-2</v>
      </c>
      <c r="O59" s="5">
        <f t="shared" si="11"/>
        <v>0.530706243602866</v>
      </c>
      <c r="P59" s="5">
        <f t="shared" si="12"/>
        <v>-0.20849866531996264</v>
      </c>
      <c r="Q59">
        <f t="shared" si="15"/>
        <v>1</v>
      </c>
      <c r="R59">
        <f t="shared" si="16"/>
        <v>0</v>
      </c>
    </row>
    <row r="60" spans="1:18" x14ac:dyDescent="0.3">
      <c r="A60" t="s">
        <v>87</v>
      </c>
      <c r="B60" t="s">
        <v>88</v>
      </c>
      <c r="C60" t="s">
        <v>11</v>
      </c>
      <c r="D60" t="s">
        <v>22</v>
      </c>
      <c r="E60" t="s">
        <v>19</v>
      </c>
      <c r="F60" t="s">
        <v>32</v>
      </c>
      <c r="G60" t="s">
        <v>24</v>
      </c>
      <c r="H60">
        <v>4858</v>
      </c>
      <c r="I60" t="s">
        <v>89</v>
      </c>
      <c r="J60" s="9">
        <v>5.0459999999999991E-2</v>
      </c>
      <c r="K60" s="9">
        <v>6.5820000000000004E-2</v>
      </c>
      <c r="L60" s="4">
        <v>370.83333333333331</v>
      </c>
      <c r="M60" s="4">
        <v>279.48333333333329</v>
      </c>
      <c r="N60" s="6">
        <f t="shared" si="10"/>
        <v>1.5360000000000013E-2</v>
      </c>
      <c r="O60" s="5">
        <f t="shared" si="11"/>
        <v>0.30439952437574336</v>
      </c>
      <c r="P60" s="5">
        <f t="shared" si="12"/>
        <v>-0.24633707865168541</v>
      </c>
      <c r="Q60">
        <f t="shared" si="15"/>
        <v>1</v>
      </c>
      <c r="R60">
        <f t="shared" si="16"/>
        <v>0</v>
      </c>
    </row>
    <row r="61" spans="1:18" x14ac:dyDescent="0.3">
      <c r="A61" t="s">
        <v>154</v>
      </c>
      <c r="B61" t="s">
        <v>155</v>
      </c>
      <c r="C61" t="s">
        <v>11</v>
      </c>
      <c r="D61" t="s">
        <v>12</v>
      </c>
      <c r="E61" t="s">
        <v>19</v>
      </c>
      <c r="F61" t="s">
        <v>14</v>
      </c>
      <c r="G61" t="s">
        <v>15</v>
      </c>
      <c r="H61">
        <v>3694</v>
      </c>
      <c r="I61" t="s">
        <v>16</v>
      </c>
      <c r="J61" s="10">
        <v>8.1740000000000007E-2</v>
      </c>
      <c r="K61" s="10">
        <v>7.8559999999999991E-2</v>
      </c>
      <c r="L61" s="4">
        <v>718.15</v>
      </c>
      <c r="M61" s="4">
        <v>529.93333333333328</v>
      </c>
      <c r="N61" s="6">
        <f t="shared" si="10"/>
        <v>-3.1800000000000161E-3</v>
      </c>
      <c r="O61" s="5">
        <f t="shared" si="11"/>
        <v>-3.8903841448495458E-2</v>
      </c>
      <c r="P61" s="5">
        <f t="shared" si="12"/>
        <v>-0.2620854510431897</v>
      </c>
      <c r="Q61">
        <f t="shared" si="15"/>
        <v>0</v>
      </c>
      <c r="R61">
        <f t="shared" si="16"/>
        <v>0</v>
      </c>
    </row>
    <row r="62" spans="1:18" x14ac:dyDescent="0.3">
      <c r="A62" t="s">
        <v>133</v>
      </c>
      <c r="B62" t="s">
        <v>134</v>
      </c>
      <c r="C62" t="s">
        <v>11</v>
      </c>
      <c r="D62" t="s">
        <v>22</v>
      </c>
      <c r="E62" t="s">
        <v>13</v>
      </c>
      <c r="F62" t="s">
        <v>23</v>
      </c>
      <c r="G62" t="s">
        <v>24</v>
      </c>
      <c r="H62">
        <v>3114</v>
      </c>
      <c r="I62" t="s">
        <v>103</v>
      </c>
      <c r="J62" s="9">
        <v>4.548E-2</v>
      </c>
      <c r="K62" s="9">
        <v>5.6899999999999992E-2</v>
      </c>
      <c r="L62" s="4">
        <v>185.1</v>
      </c>
      <c r="M62" s="4">
        <v>136.1166666666667</v>
      </c>
      <c r="N62" s="6">
        <f t="shared" si="10"/>
        <v>1.1419999999999993E-2</v>
      </c>
      <c r="O62" s="5">
        <f t="shared" si="11"/>
        <v>0.25109938434476686</v>
      </c>
      <c r="P62" s="5">
        <f t="shared" si="12"/>
        <v>-0.26463173059607392</v>
      </c>
      <c r="Q62">
        <f t="shared" si="15"/>
        <v>1</v>
      </c>
      <c r="R62">
        <f t="shared" si="16"/>
        <v>0</v>
      </c>
    </row>
    <row r="63" spans="1:18" x14ac:dyDescent="0.3">
      <c r="A63" t="s">
        <v>127</v>
      </c>
      <c r="B63" t="s">
        <v>128</v>
      </c>
      <c r="C63" t="s">
        <v>11</v>
      </c>
      <c r="D63" t="s">
        <v>12</v>
      </c>
      <c r="E63" t="s">
        <v>19</v>
      </c>
      <c r="F63" t="s">
        <v>28</v>
      </c>
      <c r="G63" t="s">
        <v>15</v>
      </c>
      <c r="H63">
        <v>4667</v>
      </c>
      <c r="I63" t="s">
        <v>16</v>
      </c>
      <c r="J63" s="10">
        <v>7.0140000000000008E-2</v>
      </c>
      <c r="K63" s="10">
        <v>7.483999999999999E-2</v>
      </c>
      <c r="L63" s="4">
        <v>286.73333333333329</v>
      </c>
      <c r="M63" s="4">
        <v>210.45</v>
      </c>
      <c r="N63" s="6">
        <f t="shared" si="10"/>
        <v>4.699999999999982E-3</v>
      </c>
      <c r="O63" s="5">
        <f t="shared" si="11"/>
        <v>6.7008839463928993E-2</v>
      </c>
      <c r="P63" s="5">
        <f t="shared" si="12"/>
        <v>-0.26604278074866305</v>
      </c>
      <c r="Q63">
        <f t="shared" si="15"/>
        <v>0</v>
      </c>
      <c r="R63">
        <f t="shared" si="16"/>
        <v>0</v>
      </c>
    </row>
    <row r="64" spans="1:18" x14ac:dyDescent="0.3">
      <c r="A64" t="s">
        <v>184</v>
      </c>
      <c r="B64" t="s">
        <v>185</v>
      </c>
      <c r="C64" t="s">
        <v>78</v>
      </c>
      <c r="D64" t="s">
        <v>12</v>
      </c>
      <c r="E64" t="s">
        <v>13</v>
      </c>
      <c r="F64" t="s">
        <v>79</v>
      </c>
      <c r="G64" t="s">
        <v>80</v>
      </c>
      <c r="H64">
        <v>1684</v>
      </c>
      <c r="I64" t="s">
        <v>16</v>
      </c>
      <c r="J64" s="9">
        <v>5.6460000000000003E-2</v>
      </c>
      <c r="K64" s="9">
        <v>9.1880000000000003E-2</v>
      </c>
      <c r="L64" s="4">
        <v>267.38333333333333</v>
      </c>
      <c r="M64" s="4">
        <v>196.0333333333333</v>
      </c>
      <c r="N64" s="6">
        <f t="shared" si="10"/>
        <v>3.542E-2</v>
      </c>
      <c r="O64" s="5">
        <f t="shared" si="11"/>
        <v>0.62734679419057726</v>
      </c>
      <c r="P64" s="5">
        <f t="shared" si="12"/>
        <v>-0.26684535311350754</v>
      </c>
      <c r="Q64">
        <f t="shared" si="15"/>
        <v>1</v>
      </c>
      <c r="R64">
        <f t="shared" si="16"/>
        <v>0</v>
      </c>
    </row>
    <row r="65" spans="1:18" x14ac:dyDescent="0.3">
      <c r="A65" t="s">
        <v>45</v>
      </c>
      <c r="B65" t="s">
        <v>46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>
        <v>3624</v>
      </c>
      <c r="I65" t="s">
        <v>16</v>
      </c>
      <c r="J65" s="10">
        <v>9.8799999999999999E-2</v>
      </c>
      <c r="K65" s="10">
        <v>8.8099999999999998E-2</v>
      </c>
      <c r="L65" s="4">
        <v>1247.2166666666669</v>
      </c>
      <c r="M65" s="4">
        <v>898.41666666666663</v>
      </c>
      <c r="N65" s="6">
        <f t="shared" si="10"/>
        <v>-1.0700000000000001E-2</v>
      </c>
      <c r="O65" s="5">
        <f t="shared" si="11"/>
        <v>-0.1082995951417004</v>
      </c>
      <c r="P65" s="5">
        <f t="shared" si="12"/>
        <v>-0.27966271564684053</v>
      </c>
      <c r="Q65">
        <f t="shared" si="15"/>
        <v>0</v>
      </c>
      <c r="R65">
        <f t="shared" si="16"/>
        <v>0</v>
      </c>
    </row>
    <row r="66" spans="1:18" x14ac:dyDescent="0.3">
      <c r="A66" t="s">
        <v>260</v>
      </c>
      <c r="B66" t="s">
        <v>261</v>
      </c>
      <c r="C66" t="s">
        <v>254</v>
      </c>
      <c r="D66" t="s">
        <v>12</v>
      </c>
      <c r="E66" t="s">
        <v>259</v>
      </c>
      <c r="F66" t="s">
        <v>256</v>
      </c>
      <c r="G66" t="s">
        <v>256</v>
      </c>
      <c r="H66">
        <v>1184</v>
      </c>
      <c r="I66" t="s">
        <v>16</v>
      </c>
      <c r="J66" s="6">
        <v>4.3180000000000003E-2</v>
      </c>
      <c r="K66" s="6">
        <v>5.5419999999999997E-2</v>
      </c>
      <c r="L66" s="4">
        <v>410.4</v>
      </c>
      <c r="M66" s="4">
        <v>291.53333333333342</v>
      </c>
      <c r="N66" s="6">
        <f t="shared" ref="N66:N97" si="17">+K66-J66</f>
        <v>1.2239999999999994E-2</v>
      </c>
      <c r="O66" s="5">
        <f t="shared" ref="O66:O97" si="18">+K66/J66-1</f>
        <v>0.2834645669291338</v>
      </c>
      <c r="P66" s="5">
        <f t="shared" ref="P66:P97" si="19">+M66/L66-1</f>
        <v>-0.28963612735542532</v>
      </c>
      <c r="Q66">
        <f>+IFERROR(IF(AND(N66&gt;2%, O66&gt;20%),1,0),0)</f>
        <v>0</v>
      </c>
      <c r="R66">
        <f t="shared" si="2"/>
        <v>0</v>
      </c>
    </row>
    <row r="67" spans="1:18" x14ac:dyDescent="0.3">
      <c r="A67" t="s">
        <v>62</v>
      </c>
      <c r="B67" t="s">
        <v>63</v>
      </c>
      <c r="C67" t="s">
        <v>11</v>
      </c>
      <c r="D67" t="s">
        <v>12</v>
      </c>
      <c r="E67" t="s">
        <v>13</v>
      </c>
      <c r="F67" t="s">
        <v>14</v>
      </c>
      <c r="G67" t="s">
        <v>15</v>
      </c>
      <c r="H67">
        <v>2854</v>
      </c>
      <c r="I67" t="s">
        <v>44</v>
      </c>
      <c r="J67" s="9">
        <v>5.1980000000000012E-2</v>
      </c>
      <c r="K67" s="9">
        <v>6.273999999999999E-2</v>
      </c>
      <c r="L67" s="4">
        <v>255.31666666666669</v>
      </c>
      <c r="M67" s="4">
        <v>177.8833333333333</v>
      </c>
      <c r="N67" s="6">
        <f t="shared" si="17"/>
        <v>1.0759999999999978E-2</v>
      </c>
      <c r="O67" s="5">
        <f t="shared" si="18"/>
        <v>0.20700269334359311</v>
      </c>
      <c r="P67" s="5">
        <f t="shared" si="19"/>
        <v>-0.30328350414517935</v>
      </c>
      <c r="Q67">
        <f t="shared" ref="Q67:Q69" si="20">+IFERROR(IF(AND(N67&gt;1%, O67&gt;10%, K67&gt;=3%),1,0),0)</f>
        <v>1</v>
      </c>
      <c r="R67">
        <f t="shared" ref="R67:R69" si="21">+IFERROR(IF(AND(Q67=1, P67&gt;10%),1,0),0)</f>
        <v>0</v>
      </c>
    </row>
    <row r="68" spans="1:18" x14ac:dyDescent="0.3">
      <c r="A68" t="s">
        <v>116</v>
      </c>
      <c r="B68" t="s">
        <v>117</v>
      </c>
      <c r="C68" t="s">
        <v>11</v>
      </c>
      <c r="D68" t="s">
        <v>22</v>
      </c>
      <c r="E68" t="s">
        <v>19</v>
      </c>
      <c r="F68" t="s">
        <v>23</v>
      </c>
      <c r="G68" t="s">
        <v>24</v>
      </c>
      <c r="H68">
        <v>3949</v>
      </c>
      <c r="I68" t="s">
        <v>96</v>
      </c>
      <c r="J68" s="10">
        <v>8.1159999999999996E-2</v>
      </c>
      <c r="K68" s="10">
        <v>7.7800000000000008E-2</v>
      </c>
      <c r="L68" s="4">
        <v>526.51666666666665</v>
      </c>
      <c r="M68" s="4">
        <v>357.91666666666669</v>
      </c>
      <c r="N68" s="6">
        <f t="shared" si="17"/>
        <v>-3.359999999999988E-3</v>
      </c>
      <c r="O68" s="5">
        <f t="shared" si="18"/>
        <v>-4.1399704287826355E-2</v>
      </c>
      <c r="P68" s="5">
        <f t="shared" si="19"/>
        <v>-0.32021778354594654</v>
      </c>
      <c r="Q68">
        <f t="shared" si="20"/>
        <v>0</v>
      </c>
      <c r="R68">
        <f t="shared" si="21"/>
        <v>0</v>
      </c>
    </row>
    <row r="69" spans="1:18" x14ac:dyDescent="0.3">
      <c r="A69" t="s">
        <v>29</v>
      </c>
      <c r="B69">
        <v>1593</v>
      </c>
      <c r="C69" t="str">
        <f>+VLOOKUP(B69,[1]Sheet1!$A:$R,2,FALSE)</f>
        <v>PLAZA VEA</v>
      </c>
      <c r="D69" t="str">
        <f>+VLOOKUP(B69,[1]Sheet1!$A:$R,3,FALSE)</f>
        <v>Lima + Callao</v>
      </c>
      <c r="E69" t="str">
        <f>+VLOOKUP(B69,[1]Sheet1!$A:$R,15,FALSE)</f>
        <v>BC3</v>
      </c>
      <c r="F69" t="str">
        <f>+VLOOKUP(B69,[1]Sheet1!$A:$R,9,FALSE)</f>
        <v>RODOLFO OLIVRY</v>
      </c>
      <c r="G69" t="str">
        <f>+VLOOKUP(B69,[1]Sheet1!$A:$R,10,FALSE)</f>
        <v>Sebastián Santangelo</v>
      </c>
      <c r="H69">
        <f>+VLOOKUP(B69,[1]Sheet1!$A:$R,13,FALSE)</f>
        <v>4136</v>
      </c>
      <c r="I69" t="str">
        <f>+VLOOKUP(B69,[1]Sheet1!$A:$R,16,FALSE)</f>
        <v>Lima</v>
      </c>
      <c r="J69" s="10">
        <v>4.7819999999999988E-2</v>
      </c>
      <c r="K69" s="10">
        <v>5.1340000000000011E-2</v>
      </c>
      <c r="L69" s="4">
        <v>792.01666666666665</v>
      </c>
      <c r="M69" s="4">
        <v>531.63333333333333</v>
      </c>
      <c r="N69" s="6">
        <f t="shared" si="17"/>
        <v>3.5200000000000231E-3</v>
      </c>
      <c r="O69" s="5">
        <f t="shared" si="18"/>
        <v>7.3609368465077818E-2</v>
      </c>
      <c r="P69" s="5">
        <f t="shared" si="19"/>
        <v>-0.3287599166684203</v>
      </c>
      <c r="Q69">
        <f t="shared" si="20"/>
        <v>0</v>
      </c>
      <c r="R69">
        <f t="shared" si="21"/>
        <v>0</v>
      </c>
    </row>
    <row r="70" spans="1:18" x14ac:dyDescent="0.3">
      <c r="A70" t="s">
        <v>264</v>
      </c>
      <c r="B70" t="s">
        <v>265</v>
      </c>
      <c r="C70" t="s">
        <v>254</v>
      </c>
      <c r="D70" t="s">
        <v>12</v>
      </c>
      <c r="E70" t="s">
        <v>259</v>
      </c>
      <c r="F70" t="s">
        <v>256</v>
      </c>
      <c r="G70" t="s">
        <v>256</v>
      </c>
      <c r="H70">
        <v>1167</v>
      </c>
      <c r="I70" t="s">
        <v>16</v>
      </c>
      <c r="J70" s="6">
        <v>7.6580000000000009E-2</v>
      </c>
      <c r="K70" s="6">
        <v>8.498E-2</v>
      </c>
      <c r="L70" s="4">
        <v>236.68333333333331</v>
      </c>
      <c r="M70" s="4">
        <v>151.73333333333329</v>
      </c>
      <c r="N70" s="6">
        <f t="shared" si="17"/>
        <v>8.3999999999999908E-3</v>
      </c>
      <c r="O70" s="5">
        <f t="shared" si="18"/>
        <v>0.10968921389396691</v>
      </c>
      <c r="P70" s="5">
        <f t="shared" si="19"/>
        <v>-0.35891838602915294</v>
      </c>
      <c r="Q70">
        <f>+IFERROR(IF(AND(N70&gt;2%, O70&gt;20%),1,0),0)</f>
        <v>0</v>
      </c>
      <c r="R70">
        <f t="shared" ref="R70:R113" si="22">+IFERROR(IF(AND(Q70=1, P70&gt;15%),1,0),0)</f>
        <v>0</v>
      </c>
    </row>
    <row r="71" spans="1:18" x14ac:dyDescent="0.3">
      <c r="A71" t="s">
        <v>149</v>
      </c>
      <c r="B71" t="s">
        <v>150</v>
      </c>
      <c r="C71" t="s">
        <v>11</v>
      </c>
      <c r="D71" t="s">
        <v>12</v>
      </c>
      <c r="E71" t="s">
        <v>19</v>
      </c>
      <c r="F71" t="s">
        <v>28</v>
      </c>
      <c r="G71" t="s">
        <v>15</v>
      </c>
      <c r="H71">
        <v>4892</v>
      </c>
      <c r="I71" t="s">
        <v>16</v>
      </c>
      <c r="J71" s="10">
        <v>4.4499999999999998E-2</v>
      </c>
      <c r="K71" s="10">
        <v>3.5880000000000002E-2</v>
      </c>
      <c r="L71" s="4">
        <v>861.55000000000007</v>
      </c>
      <c r="M71" s="4">
        <v>541.58333333333337</v>
      </c>
      <c r="N71" s="6">
        <f t="shared" si="17"/>
        <v>-8.6199999999999957E-3</v>
      </c>
      <c r="O71" s="5">
        <f t="shared" si="18"/>
        <v>-0.19370786516853922</v>
      </c>
      <c r="P71" s="5">
        <f t="shared" si="19"/>
        <v>-0.37138490704737581</v>
      </c>
      <c r="Q71">
        <f t="shared" ref="Q71:Q72" si="23">+IFERROR(IF(AND(N71&gt;1%, O71&gt;10%, K71&gt;=3%),1,0),0)</f>
        <v>0</v>
      </c>
      <c r="R71">
        <f t="shared" ref="R71:R72" si="24">+IFERROR(IF(AND(Q71=1, P71&gt;10%),1,0),0)</f>
        <v>0</v>
      </c>
    </row>
    <row r="72" spans="1:18" x14ac:dyDescent="0.3">
      <c r="A72" t="s">
        <v>97</v>
      </c>
      <c r="B72" t="s">
        <v>98</v>
      </c>
      <c r="C72" t="s">
        <v>11</v>
      </c>
      <c r="D72" t="s">
        <v>12</v>
      </c>
      <c r="E72" t="s">
        <v>19</v>
      </c>
      <c r="F72" t="s">
        <v>14</v>
      </c>
      <c r="G72" t="s">
        <v>15</v>
      </c>
      <c r="H72">
        <v>6916</v>
      </c>
      <c r="I72" t="s">
        <v>16</v>
      </c>
      <c r="J72" s="9">
        <v>5.7199999999999987E-2</v>
      </c>
      <c r="K72" s="9">
        <v>6.9540000000000005E-2</v>
      </c>
      <c r="L72" s="4">
        <v>336.81666666666672</v>
      </c>
      <c r="M72" s="4">
        <v>208.66666666666671</v>
      </c>
      <c r="N72" s="6">
        <f t="shared" si="17"/>
        <v>1.2340000000000018E-2</v>
      </c>
      <c r="O72" s="5">
        <f t="shared" si="18"/>
        <v>0.21573426573426602</v>
      </c>
      <c r="P72" s="5">
        <f t="shared" si="19"/>
        <v>-0.38047404621703196</v>
      </c>
      <c r="Q72">
        <f t="shared" si="23"/>
        <v>1</v>
      </c>
      <c r="R72">
        <f t="shared" si="24"/>
        <v>0</v>
      </c>
    </row>
    <row r="73" spans="1:18" x14ac:dyDescent="0.3">
      <c r="A73" t="s">
        <v>252</v>
      </c>
      <c r="B73" t="s">
        <v>253</v>
      </c>
      <c r="C73" t="s">
        <v>254</v>
      </c>
      <c r="D73" t="s">
        <v>12</v>
      </c>
      <c r="E73" t="s">
        <v>255</v>
      </c>
      <c r="F73" t="s">
        <v>256</v>
      </c>
      <c r="G73" t="s">
        <v>256</v>
      </c>
      <c r="H73">
        <v>2298</v>
      </c>
      <c r="I73" t="s">
        <v>16</v>
      </c>
      <c r="J73" s="6">
        <v>0.20608000000000001</v>
      </c>
      <c r="K73" s="6">
        <v>3.9059999999999997E-2</v>
      </c>
      <c r="L73" s="4">
        <v>505.15</v>
      </c>
      <c r="M73" s="4">
        <v>312.56666666666672</v>
      </c>
      <c r="N73" s="6">
        <f t="shared" si="17"/>
        <v>-0.16702</v>
      </c>
      <c r="O73" s="5">
        <f t="shared" si="18"/>
        <v>-0.81046195652173914</v>
      </c>
      <c r="P73" s="5">
        <f t="shared" si="19"/>
        <v>-0.38123989574053896</v>
      </c>
      <c r="Q73">
        <f>+IFERROR(IF(AND(N73&gt;2%, O73&gt;20%),1,0),0)</f>
        <v>0</v>
      </c>
      <c r="R73">
        <f t="shared" si="22"/>
        <v>0</v>
      </c>
    </row>
    <row r="74" spans="1:18" x14ac:dyDescent="0.3">
      <c r="A74" t="s">
        <v>20</v>
      </c>
      <c r="B74" t="s">
        <v>21</v>
      </c>
      <c r="C74" t="s">
        <v>11</v>
      </c>
      <c r="D74" t="s">
        <v>22</v>
      </c>
      <c r="E74" t="s">
        <v>19</v>
      </c>
      <c r="F74" t="s">
        <v>23</v>
      </c>
      <c r="G74" t="s">
        <v>24</v>
      </c>
      <c r="H74">
        <v>4120</v>
      </c>
      <c r="I74" t="s">
        <v>25</v>
      </c>
      <c r="J74" s="9">
        <v>4.3639999999999998E-2</v>
      </c>
      <c r="K74" s="9">
        <v>5.5000000000000007E-2</v>
      </c>
      <c r="L74" s="4">
        <v>295.11666666666667</v>
      </c>
      <c r="M74" s="4">
        <v>171.2833333333333</v>
      </c>
      <c r="N74" s="6">
        <f t="shared" si="17"/>
        <v>1.1360000000000009E-2</v>
      </c>
      <c r="O74" s="5">
        <f t="shared" si="18"/>
        <v>0.26031164069660884</v>
      </c>
      <c r="P74" s="5">
        <f t="shared" si="19"/>
        <v>-0.41960806460721756</v>
      </c>
      <c r="Q74">
        <f t="shared" ref="Q74:Q95" si="25">+IFERROR(IF(AND(N74&gt;1%, O74&gt;10%, K74&gt;=3%),1,0),0)</f>
        <v>1</v>
      </c>
      <c r="R74">
        <f t="shared" ref="R74:R95" si="26">+IFERROR(IF(AND(Q74=1, P74&gt;10%),1,0),0)</f>
        <v>0</v>
      </c>
    </row>
    <row r="75" spans="1:18" x14ac:dyDescent="0.3">
      <c r="A75" t="s">
        <v>49</v>
      </c>
      <c r="B75" t="s">
        <v>50</v>
      </c>
      <c r="C75" t="s">
        <v>11</v>
      </c>
      <c r="D75" t="s">
        <v>22</v>
      </c>
      <c r="E75" t="s">
        <v>19</v>
      </c>
      <c r="F75" t="s">
        <v>51</v>
      </c>
      <c r="G75" t="s">
        <v>24</v>
      </c>
      <c r="H75">
        <v>4887</v>
      </c>
      <c r="I75" t="s">
        <v>52</v>
      </c>
      <c r="J75" s="9">
        <v>7.6600000000000001E-3</v>
      </c>
      <c r="K75" s="9">
        <v>1.9980000000000001E-2</v>
      </c>
      <c r="L75" s="4">
        <v>271.5</v>
      </c>
      <c r="M75" s="4">
        <v>157.1333333333333</v>
      </c>
      <c r="N75" s="6">
        <f t="shared" si="17"/>
        <v>1.2320000000000001E-2</v>
      </c>
      <c r="O75" s="5">
        <f t="shared" si="18"/>
        <v>1.6083550913838121</v>
      </c>
      <c r="P75" s="5">
        <f t="shared" si="19"/>
        <v>-0.42124002455494181</v>
      </c>
      <c r="Q75">
        <f t="shared" si="25"/>
        <v>0</v>
      </c>
      <c r="R75">
        <f t="shared" si="26"/>
        <v>0</v>
      </c>
    </row>
    <row r="76" spans="1:18" x14ac:dyDescent="0.3">
      <c r="A76" t="s">
        <v>181</v>
      </c>
      <c r="B76" t="s">
        <v>182</v>
      </c>
      <c r="C76" t="s">
        <v>11</v>
      </c>
      <c r="D76" t="s">
        <v>22</v>
      </c>
      <c r="E76" t="s">
        <v>19</v>
      </c>
      <c r="F76" t="s">
        <v>32</v>
      </c>
      <c r="G76" t="s">
        <v>24</v>
      </c>
      <c r="H76">
        <v>3961</v>
      </c>
      <c r="I76" t="s">
        <v>183</v>
      </c>
      <c r="J76" s="10">
        <v>2.7439999999999999E-2</v>
      </c>
      <c r="K76" s="10">
        <v>3.4199999999999987E-2</v>
      </c>
      <c r="L76" s="4">
        <v>1315.2333333333329</v>
      </c>
      <c r="M76" s="4">
        <v>759.08333333333337</v>
      </c>
      <c r="N76" s="6">
        <f t="shared" si="17"/>
        <v>6.7599999999999882E-3</v>
      </c>
      <c r="O76" s="5">
        <f t="shared" si="18"/>
        <v>0.24635568513119499</v>
      </c>
      <c r="P76" s="5">
        <f t="shared" si="19"/>
        <v>-0.42285272575208432</v>
      </c>
      <c r="Q76">
        <f t="shared" si="25"/>
        <v>0</v>
      </c>
      <c r="R76">
        <f t="shared" si="26"/>
        <v>0</v>
      </c>
    </row>
    <row r="77" spans="1:18" x14ac:dyDescent="0.3">
      <c r="A77" t="s">
        <v>237</v>
      </c>
      <c r="B77" t="s">
        <v>238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>
        <v>2854</v>
      </c>
      <c r="I77" t="s">
        <v>16</v>
      </c>
      <c r="J77" s="9">
        <v>5.0879999999999988E-2</v>
      </c>
      <c r="K77" s="9">
        <v>8.992E-2</v>
      </c>
      <c r="L77" s="4">
        <v>559.06666666666672</v>
      </c>
      <c r="M77" s="4">
        <v>321.16666666666669</v>
      </c>
      <c r="N77" s="6">
        <f t="shared" si="17"/>
        <v>3.9040000000000012E-2</v>
      </c>
      <c r="O77" s="5">
        <f t="shared" si="18"/>
        <v>0.76729559748427723</v>
      </c>
      <c r="P77" s="5">
        <f t="shared" si="19"/>
        <v>-0.42553064631528736</v>
      </c>
      <c r="Q77">
        <f t="shared" si="25"/>
        <v>1</v>
      </c>
      <c r="R77">
        <f t="shared" si="26"/>
        <v>0</v>
      </c>
    </row>
    <row r="78" spans="1:18" x14ac:dyDescent="0.3">
      <c r="A78" t="s">
        <v>54</v>
      </c>
      <c r="B78" t="s">
        <v>55</v>
      </c>
      <c r="C78" t="s">
        <v>11</v>
      </c>
      <c r="D78" t="s">
        <v>22</v>
      </c>
      <c r="E78" t="s">
        <v>13</v>
      </c>
      <c r="F78" t="s">
        <v>51</v>
      </c>
      <c r="G78" t="s">
        <v>24</v>
      </c>
      <c r="H78">
        <v>3454</v>
      </c>
      <c r="I78" t="s">
        <v>56</v>
      </c>
      <c r="J78" s="9">
        <v>2.6939999999999999E-2</v>
      </c>
      <c r="K78" s="9">
        <v>4.3540000000000002E-2</v>
      </c>
      <c r="L78" s="4">
        <v>327.8</v>
      </c>
      <c r="M78" s="4">
        <v>185.83333333333329</v>
      </c>
      <c r="N78" s="6">
        <f t="shared" si="17"/>
        <v>1.6600000000000004E-2</v>
      </c>
      <c r="O78" s="5">
        <f t="shared" si="18"/>
        <v>0.61618411284335584</v>
      </c>
      <c r="P78" s="5">
        <f t="shared" si="19"/>
        <v>-0.4330892820825708</v>
      </c>
      <c r="Q78">
        <f t="shared" si="25"/>
        <v>1</v>
      </c>
      <c r="R78">
        <f t="shared" si="26"/>
        <v>0</v>
      </c>
    </row>
    <row r="79" spans="1:18" x14ac:dyDescent="0.3">
      <c r="A79" t="s">
        <v>37</v>
      </c>
      <c r="B79" t="s">
        <v>38</v>
      </c>
      <c r="C79" t="s">
        <v>11</v>
      </c>
      <c r="D79" t="s">
        <v>12</v>
      </c>
      <c r="E79" t="s">
        <v>19</v>
      </c>
      <c r="F79" t="s">
        <v>14</v>
      </c>
      <c r="G79" t="s">
        <v>15</v>
      </c>
      <c r="H79">
        <v>3853</v>
      </c>
      <c r="I79" t="s">
        <v>16</v>
      </c>
      <c r="J79" s="10">
        <v>7.0440000000000003E-2</v>
      </c>
      <c r="K79" s="10">
        <v>7.6920000000000002E-2</v>
      </c>
      <c r="L79" s="4">
        <v>889.41666666666663</v>
      </c>
      <c r="M79" s="4">
        <v>501.0333333333333</v>
      </c>
      <c r="N79" s="6">
        <f t="shared" si="17"/>
        <v>6.4799999999999996E-3</v>
      </c>
      <c r="O79" s="5">
        <f t="shared" si="18"/>
        <v>9.1993185689948964E-2</v>
      </c>
      <c r="P79" s="5">
        <f t="shared" si="19"/>
        <v>-0.43667197601424157</v>
      </c>
      <c r="Q79">
        <f t="shared" si="25"/>
        <v>0</v>
      </c>
      <c r="R79">
        <f t="shared" si="26"/>
        <v>0</v>
      </c>
    </row>
    <row r="80" spans="1:18" x14ac:dyDescent="0.3">
      <c r="A80" t="s">
        <v>108</v>
      </c>
      <c r="B80" t="s">
        <v>109</v>
      </c>
      <c r="C80" t="s">
        <v>11</v>
      </c>
      <c r="D80" t="s">
        <v>12</v>
      </c>
      <c r="E80" t="s">
        <v>19</v>
      </c>
      <c r="F80" t="s">
        <v>28</v>
      </c>
      <c r="G80" t="s">
        <v>15</v>
      </c>
      <c r="H80">
        <v>4021</v>
      </c>
      <c r="I80" t="s">
        <v>16</v>
      </c>
      <c r="J80" s="9">
        <v>3.5900000000000001E-2</v>
      </c>
      <c r="K80" s="9">
        <v>5.1880000000000003E-2</v>
      </c>
      <c r="L80" s="4">
        <v>365.43333333333328</v>
      </c>
      <c r="M80" s="4">
        <v>195.6166666666667</v>
      </c>
      <c r="N80" s="6">
        <f t="shared" si="17"/>
        <v>1.5980000000000001E-2</v>
      </c>
      <c r="O80" s="5">
        <f t="shared" si="18"/>
        <v>0.44512534818941507</v>
      </c>
      <c r="P80" s="5">
        <f t="shared" si="19"/>
        <v>-0.46469944358296067</v>
      </c>
      <c r="Q80">
        <f t="shared" si="25"/>
        <v>1</v>
      </c>
      <c r="R80">
        <f t="shared" si="26"/>
        <v>0</v>
      </c>
    </row>
    <row r="81" spans="1:18" x14ac:dyDescent="0.3">
      <c r="A81" t="s">
        <v>30</v>
      </c>
      <c r="B81" t="s">
        <v>31</v>
      </c>
      <c r="C81" t="s">
        <v>11</v>
      </c>
      <c r="D81" t="s">
        <v>22</v>
      </c>
      <c r="E81" t="s">
        <v>13</v>
      </c>
      <c r="F81" t="s">
        <v>32</v>
      </c>
      <c r="G81" t="s">
        <v>24</v>
      </c>
      <c r="H81">
        <v>1741</v>
      </c>
      <c r="I81" t="s">
        <v>16</v>
      </c>
      <c r="J81" s="9">
        <v>3.5860000000000003E-2</v>
      </c>
      <c r="K81" s="9">
        <v>8.9159999999999989E-2</v>
      </c>
      <c r="L81" s="4">
        <v>572.98333333333335</v>
      </c>
      <c r="M81" s="4">
        <v>300.7</v>
      </c>
      <c r="N81" s="6">
        <f t="shared" si="17"/>
        <v>5.3299999999999986E-2</v>
      </c>
      <c r="O81" s="5">
        <f t="shared" si="18"/>
        <v>1.4863357501394305</v>
      </c>
      <c r="P81" s="5">
        <f t="shared" si="19"/>
        <v>-0.47520288548241663</v>
      </c>
      <c r="Q81">
        <f t="shared" si="25"/>
        <v>1</v>
      </c>
      <c r="R81">
        <f t="shared" si="26"/>
        <v>0</v>
      </c>
    </row>
    <row r="82" spans="1:18" x14ac:dyDescent="0.3">
      <c r="A82" t="s">
        <v>106</v>
      </c>
      <c r="B82" t="s">
        <v>107</v>
      </c>
      <c r="C82" t="s">
        <v>11</v>
      </c>
      <c r="D82" t="s">
        <v>12</v>
      </c>
      <c r="E82" t="s">
        <v>68</v>
      </c>
      <c r="F82" t="s">
        <v>69</v>
      </c>
      <c r="G82" t="s">
        <v>15</v>
      </c>
      <c r="H82">
        <v>4506</v>
      </c>
      <c r="I82" t="s">
        <v>16</v>
      </c>
      <c r="J82" s="9">
        <v>5.654E-2</v>
      </c>
      <c r="K82" s="9">
        <v>9.6920000000000006E-2</v>
      </c>
      <c r="L82" s="4">
        <v>532.33333333333337</v>
      </c>
      <c r="M82" s="4">
        <v>275.85000000000002</v>
      </c>
      <c r="N82" s="6">
        <f t="shared" si="17"/>
        <v>4.0380000000000006E-2</v>
      </c>
      <c r="O82" s="5">
        <f t="shared" si="18"/>
        <v>0.71418464803678816</v>
      </c>
      <c r="P82" s="5">
        <f t="shared" si="19"/>
        <v>-0.48180964308077645</v>
      </c>
      <c r="Q82">
        <f t="shared" si="25"/>
        <v>1</v>
      </c>
      <c r="R82">
        <f t="shared" si="26"/>
        <v>0</v>
      </c>
    </row>
    <row r="83" spans="1:18" x14ac:dyDescent="0.3">
      <c r="A83" t="s">
        <v>207</v>
      </c>
      <c r="B83" t="s">
        <v>208</v>
      </c>
      <c r="C83" t="s">
        <v>78</v>
      </c>
      <c r="D83" t="s">
        <v>12</v>
      </c>
      <c r="E83" t="s">
        <v>209</v>
      </c>
      <c r="F83" t="s">
        <v>79</v>
      </c>
      <c r="G83" t="s">
        <v>80</v>
      </c>
      <c r="H83">
        <v>1680</v>
      </c>
      <c r="I83" t="s">
        <v>16</v>
      </c>
      <c r="J83" s="10">
        <v>9.4140000000000001E-2</v>
      </c>
      <c r="K83" s="10">
        <v>7.8279999999999988E-2</v>
      </c>
      <c r="L83" s="4">
        <v>966.58333333333337</v>
      </c>
      <c r="M83" s="4">
        <v>500.33333333333331</v>
      </c>
      <c r="N83" s="6">
        <f t="shared" si="17"/>
        <v>-1.5860000000000013E-2</v>
      </c>
      <c r="O83" s="5">
        <f t="shared" si="18"/>
        <v>-0.16847248778415136</v>
      </c>
      <c r="P83" s="5">
        <f t="shared" si="19"/>
        <v>-0.48236916975601352</v>
      </c>
      <c r="Q83">
        <f t="shared" si="25"/>
        <v>0</v>
      </c>
      <c r="R83">
        <f t="shared" si="26"/>
        <v>0</v>
      </c>
    </row>
    <row r="84" spans="1:18" x14ac:dyDescent="0.3">
      <c r="A84" t="s">
        <v>110</v>
      </c>
      <c r="B84" t="s">
        <v>111</v>
      </c>
      <c r="C84" t="s">
        <v>11</v>
      </c>
      <c r="D84" t="s">
        <v>12</v>
      </c>
      <c r="E84" t="s">
        <v>13</v>
      </c>
      <c r="F84" t="s">
        <v>14</v>
      </c>
      <c r="G84" t="s">
        <v>15</v>
      </c>
      <c r="H84">
        <v>2315</v>
      </c>
      <c r="I84" t="s">
        <v>16</v>
      </c>
      <c r="J84" s="10">
        <v>4.8959999999999997E-2</v>
      </c>
      <c r="K84" s="10">
        <v>3.6080000000000001E-2</v>
      </c>
      <c r="L84" s="4">
        <v>409.51666666666671</v>
      </c>
      <c r="M84" s="4">
        <v>209.55</v>
      </c>
      <c r="N84" s="6">
        <f t="shared" si="17"/>
        <v>-1.2879999999999996E-2</v>
      </c>
      <c r="O84" s="5">
        <f t="shared" si="18"/>
        <v>-0.26307189542483655</v>
      </c>
      <c r="P84" s="5">
        <f t="shared" si="19"/>
        <v>-0.48829921452118352</v>
      </c>
      <c r="Q84">
        <f t="shared" si="25"/>
        <v>0</v>
      </c>
      <c r="R84">
        <f t="shared" si="26"/>
        <v>0</v>
      </c>
    </row>
    <row r="85" spans="1:18" x14ac:dyDescent="0.3">
      <c r="A85" t="s">
        <v>246</v>
      </c>
      <c r="B85" t="s">
        <v>247</v>
      </c>
      <c r="C85" t="s">
        <v>78</v>
      </c>
      <c r="D85" t="s">
        <v>12</v>
      </c>
      <c r="E85" t="s">
        <v>13</v>
      </c>
      <c r="F85" t="s">
        <v>79</v>
      </c>
      <c r="G85" t="s">
        <v>80</v>
      </c>
      <c r="H85">
        <v>1330</v>
      </c>
      <c r="I85" t="s">
        <v>16</v>
      </c>
      <c r="J85" s="9">
        <v>4.1959999999999997E-2</v>
      </c>
      <c r="K85" s="9">
        <v>6.6119999999999998E-2</v>
      </c>
      <c r="L85" s="4">
        <v>141.08333333333329</v>
      </c>
      <c r="M85" s="4">
        <v>71.8</v>
      </c>
      <c r="N85" s="6">
        <f t="shared" si="17"/>
        <v>2.4160000000000001E-2</v>
      </c>
      <c r="O85" s="5">
        <f t="shared" si="18"/>
        <v>0.57578646329837957</v>
      </c>
      <c r="P85" s="5">
        <f t="shared" si="19"/>
        <v>-0.49108092144122839</v>
      </c>
      <c r="Q85">
        <f t="shared" si="25"/>
        <v>1</v>
      </c>
      <c r="R85">
        <f t="shared" si="26"/>
        <v>0</v>
      </c>
    </row>
    <row r="86" spans="1:18" x14ac:dyDescent="0.3">
      <c r="A86" t="s">
        <v>156</v>
      </c>
      <c r="B86" t="s">
        <v>157</v>
      </c>
      <c r="C86" t="s">
        <v>11</v>
      </c>
      <c r="D86" t="s">
        <v>22</v>
      </c>
      <c r="E86" t="s">
        <v>13</v>
      </c>
      <c r="F86" t="s">
        <v>51</v>
      </c>
      <c r="G86" t="s">
        <v>24</v>
      </c>
      <c r="H86">
        <v>1830</v>
      </c>
      <c r="I86" t="s">
        <v>122</v>
      </c>
      <c r="J86" s="9">
        <v>1.43E-2</v>
      </c>
      <c r="K86" s="9">
        <v>4.4260000000000001E-2</v>
      </c>
      <c r="L86" s="4">
        <v>96.85</v>
      </c>
      <c r="M86" s="4">
        <v>49</v>
      </c>
      <c r="N86" s="6">
        <f t="shared" si="17"/>
        <v>2.9960000000000001E-2</v>
      </c>
      <c r="O86" s="5">
        <f t="shared" si="18"/>
        <v>2.0951048951048952</v>
      </c>
      <c r="P86" s="5">
        <f t="shared" si="19"/>
        <v>-0.4940629839958699</v>
      </c>
      <c r="Q86">
        <f t="shared" si="25"/>
        <v>1</v>
      </c>
      <c r="R86">
        <f t="shared" si="26"/>
        <v>0</v>
      </c>
    </row>
    <row r="87" spans="1:18" x14ac:dyDescent="0.3">
      <c r="A87" t="s">
        <v>9</v>
      </c>
      <c r="B87" t="s">
        <v>10</v>
      </c>
      <c r="C87" t="s">
        <v>11</v>
      </c>
      <c r="D87" t="s">
        <v>12</v>
      </c>
      <c r="E87" t="s">
        <v>13</v>
      </c>
      <c r="F87" t="s">
        <v>14</v>
      </c>
      <c r="G87" t="s">
        <v>15</v>
      </c>
      <c r="H87">
        <v>3050</v>
      </c>
      <c r="I87" t="s">
        <v>16</v>
      </c>
      <c r="J87" s="10">
        <v>7.5300000000000006E-2</v>
      </c>
      <c r="K87" s="10">
        <v>4.086E-2</v>
      </c>
      <c r="L87" s="4">
        <v>305.58333333333331</v>
      </c>
      <c r="M87" s="4">
        <v>153.9</v>
      </c>
      <c r="N87" s="6">
        <f t="shared" si="17"/>
        <v>-3.4440000000000005E-2</v>
      </c>
      <c r="O87" s="5">
        <f t="shared" si="18"/>
        <v>-0.45737051792828687</v>
      </c>
      <c r="P87" s="5">
        <f t="shared" si="19"/>
        <v>-0.4963730569948186</v>
      </c>
      <c r="Q87">
        <f t="shared" si="25"/>
        <v>0</v>
      </c>
      <c r="R87">
        <f t="shared" si="26"/>
        <v>0</v>
      </c>
    </row>
    <row r="88" spans="1:18" x14ac:dyDescent="0.3">
      <c r="A88" t="s">
        <v>223</v>
      </c>
      <c r="B88" t="s">
        <v>279</v>
      </c>
      <c r="C88" t="str">
        <f>+VLOOKUP(B88,[1]Sheet1!$A:$R,2,FALSE)</f>
        <v>PLAZA VEA SUPER</v>
      </c>
      <c r="D88" t="str">
        <f>+VLOOKUP(B88,[1]Sheet1!$A:$R,3,FALSE)</f>
        <v>Lima + Callao</v>
      </c>
      <c r="E88" t="str">
        <f>+VLOOKUP(B88,[1]Sheet1!$A:$R,15,FALSE)</f>
        <v>FP</v>
      </c>
      <c r="F88" t="str">
        <f>+VLOOKUP(B88,[1]Sheet1!$A:$R,9,FALSE)</f>
        <v>Fátima León</v>
      </c>
      <c r="G88" t="str">
        <f>+VLOOKUP(B88,[1]Sheet1!$A:$R,10,FALSE)</f>
        <v>Fátima León</v>
      </c>
      <c r="H88">
        <f>+VLOOKUP(B88,[1]Sheet1!$A:$R,13,FALSE)</f>
        <v>828</v>
      </c>
      <c r="I88" t="str">
        <f>+VLOOKUP(B88,[1]Sheet1!$A:$R,16,FALSE)</f>
        <v>Lima</v>
      </c>
      <c r="J88" s="9">
        <v>2.2880000000000001E-2</v>
      </c>
      <c r="K88" s="9">
        <v>3.5279999999999999E-2</v>
      </c>
      <c r="L88" s="4">
        <v>34.516666666666673</v>
      </c>
      <c r="M88" s="4">
        <v>17.2</v>
      </c>
      <c r="N88" s="6">
        <f t="shared" si="17"/>
        <v>1.2399999999999998E-2</v>
      </c>
      <c r="O88" s="5">
        <f t="shared" si="18"/>
        <v>0.54195804195804187</v>
      </c>
      <c r="P88" s="5">
        <f t="shared" si="19"/>
        <v>-0.50169000482858528</v>
      </c>
      <c r="Q88">
        <f t="shared" si="25"/>
        <v>1</v>
      </c>
      <c r="R88">
        <f t="shared" si="26"/>
        <v>0</v>
      </c>
    </row>
    <row r="89" spans="1:18" x14ac:dyDescent="0.3">
      <c r="A89" t="s">
        <v>120</v>
      </c>
      <c r="B89" t="s">
        <v>121</v>
      </c>
      <c r="C89" t="s">
        <v>11</v>
      </c>
      <c r="D89" t="s">
        <v>22</v>
      </c>
      <c r="E89" t="s">
        <v>19</v>
      </c>
      <c r="F89" t="s">
        <v>51</v>
      </c>
      <c r="G89" t="s">
        <v>24</v>
      </c>
      <c r="H89">
        <v>3486</v>
      </c>
      <c r="I89" t="s">
        <v>122</v>
      </c>
      <c r="J89" s="10">
        <v>4.0659999999999988E-2</v>
      </c>
      <c r="K89" s="10">
        <v>4.2360000000000002E-2</v>
      </c>
      <c r="L89" s="4">
        <v>459.81666666666672</v>
      </c>
      <c r="M89" s="4">
        <v>211.15</v>
      </c>
      <c r="N89" s="6">
        <f t="shared" si="17"/>
        <v>1.700000000000014E-3</v>
      </c>
      <c r="O89" s="5">
        <f t="shared" si="18"/>
        <v>4.181013280865753E-2</v>
      </c>
      <c r="P89" s="5">
        <f t="shared" si="19"/>
        <v>-0.5407952444814963</v>
      </c>
      <c r="Q89">
        <f t="shared" si="25"/>
        <v>0</v>
      </c>
      <c r="R89">
        <f t="shared" si="26"/>
        <v>0</v>
      </c>
    </row>
    <row r="90" spans="1:18" x14ac:dyDescent="0.3">
      <c r="A90" t="s">
        <v>233</v>
      </c>
      <c r="B90" t="s">
        <v>234</v>
      </c>
      <c r="C90" t="s">
        <v>78</v>
      </c>
      <c r="D90" t="s">
        <v>12</v>
      </c>
      <c r="E90" t="s">
        <v>13</v>
      </c>
      <c r="F90" t="s">
        <v>79</v>
      </c>
      <c r="G90" t="s">
        <v>80</v>
      </c>
      <c r="H90">
        <v>1247</v>
      </c>
      <c r="I90" t="s">
        <v>16</v>
      </c>
      <c r="J90" s="9">
        <v>6.3100000000000003E-2</v>
      </c>
      <c r="K90" s="9">
        <v>0.10492</v>
      </c>
      <c r="L90" s="4">
        <v>145.6</v>
      </c>
      <c r="M90" s="4">
        <v>63.966666666666669</v>
      </c>
      <c r="N90" s="6">
        <f t="shared" si="17"/>
        <v>4.1819999999999996E-2</v>
      </c>
      <c r="O90" s="5">
        <f t="shared" si="18"/>
        <v>0.66275752773375585</v>
      </c>
      <c r="P90" s="5">
        <f t="shared" si="19"/>
        <v>-0.56066849816849818</v>
      </c>
      <c r="Q90">
        <f t="shared" si="25"/>
        <v>1</v>
      </c>
      <c r="R90">
        <f t="shared" si="26"/>
        <v>0</v>
      </c>
    </row>
    <row r="91" spans="1:18" x14ac:dyDescent="0.3">
      <c r="A91" t="s">
        <v>42</v>
      </c>
      <c r="B91" t="s">
        <v>43</v>
      </c>
      <c r="C91" t="s">
        <v>11</v>
      </c>
      <c r="D91" t="s">
        <v>12</v>
      </c>
      <c r="E91" t="s">
        <v>19</v>
      </c>
      <c r="F91" t="s">
        <v>14</v>
      </c>
      <c r="G91" t="s">
        <v>15</v>
      </c>
      <c r="H91">
        <v>4398</v>
      </c>
      <c r="I91" t="s">
        <v>44</v>
      </c>
      <c r="J91" s="9">
        <v>4.4499999999999998E-2</v>
      </c>
      <c r="K91" s="9">
        <v>6.4939999999999998E-2</v>
      </c>
      <c r="L91" s="4">
        <v>194.9</v>
      </c>
      <c r="M91" s="4">
        <v>83.63333333333334</v>
      </c>
      <c r="N91" s="6">
        <f t="shared" si="17"/>
        <v>2.044E-2</v>
      </c>
      <c r="O91" s="5">
        <f t="shared" si="18"/>
        <v>0.45932584269662913</v>
      </c>
      <c r="P91" s="5">
        <f t="shared" si="19"/>
        <v>-0.57089105524200445</v>
      </c>
      <c r="Q91">
        <f t="shared" si="25"/>
        <v>1</v>
      </c>
      <c r="R91">
        <f t="shared" si="26"/>
        <v>0</v>
      </c>
    </row>
    <row r="92" spans="1:18" x14ac:dyDescent="0.3">
      <c r="A92" t="s">
        <v>212</v>
      </c>
      <c r="B92" t="s">
        <v>213</v>
      </c>
      <c r="C92" t="s">
        <v>78</v>
      </c>
      <c r="D92" t="s">
        <v>12</v>
      </c>
      <c r="E92" t="s">
        <v>214</v>
      </c>
      <c r="F92" t="s">
        <v>79</v>
      </c>
      <c r="G92" t="s">
        <v>80</v>
      </c>
      <c r="H92">
        <v>790</v>
      </c>
      <c r="I92" t="s">
        <v>16</v>
      </c>
      <c r="J92" s="10">
        <v>0.10636</v>
      </c>
      <c r="K92" s="10">
        <v>9.5659999999999995E-2</v>
      </c>
      <c r="L92" s="4">
        <v>10.71666666666667</v>
      </c>
      <c r="M92" s="4">
        <v>4.5333333333333332</v>
      </c>
      <c r="N92" s="6">
        <f t="shared" si="17"/>
        <v>-1.0700000000000001E-2</v>
      </c>
      <c r="O92" s="5">
        <f t="shared" si="18"/>
        <v>-0.10060172997367434</v>
      </c>
      <c r="P92" s="5">
        <f t="shared" si="19"/>
        <v>-0.57698289269051339</v>
      </c>
      <c r="Q92">
        <f t="shared" si="25"/>
        <v>0</v>
      </c>
      <c r="R92">
        <f t="shared" si="26"/>
        <v>0</v>
      </c>
    </row>
    <row r="93" spans="1:18" x14ac:dyDescent="0.3">
      <c r="A93" t="s">
        <v>35</v>
      </c>
      <c r="B93" t="s">
        <v>36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>
        <v>2301</v>
      </c>
      <c r="I93" t="s">
        <v>16</v>
      </c>
      <c r="J93" s="10">
        <v>8.3299999999999999E-2</v>
      </c>
      <c r="K93" s="10">
        <v>5.6520000000000001E-2</v>
      </c>
      <c r="L93" s="4">
        <v>407.9666666666667</v>
      </c>
      <c r="M93" s="4">
        <v>166.2166666666667</v>
      </c>
      <c r="N93" s="6">
        <f t="shared" si="17"/>
        <v>-2.6779999999999998E-2</v>
      </c>
      <c r="O93" s="5">
        <f t="shared" si="18"/>
        <v>-0.32148859543817521</v>
      </c>
      <c r="P93" s="5">
        <f t="shared" si="19"/>
        <v>-0.59257292262439742</v>
      </c>
      <c r="Q93">
        <f t="shared" si="25"/>
        <v>0</v>
      </c>
      <c r="R93">
        <f t="shared" si="26"/>
        <v>0</v>
      </c>
    </row>
    <row r="94" spans="1:18" x14ac:dyDescent="0.3">
      <c r="A94" t="s">
        <v>161</v>
      </c>
      <c r="B94" t="s">
        <v>281</v>
      </c>
      <c r="C94" t="s">
        <v>11</v>
      </c>
      <c r="D94" t="s">
        <v>22</v>
      </c>
      <c r="E94" t="s">
        <v>13</v>
      </c>
      <c r="F94" t="s">
        <v>51</v>
      </c>
      <c r="G94" t="s">
        <v>24</v>
      </c>
      <c r="H94">
        <v>2074</v>
      </c>
      <c r="I94" t="s">
        <v>122</v>
      </c>
      <c r="J94" s="10">
        <v>1.0160000000000001E-2</v>
      </c>
      <c r="K94" s="10">
        <v>1.4880000000000001E-2</v>
      </c>
      <c r="L94" s="4">
        <v>325.8</v>
      </c>
      <c r="M94" s="4">
        <v>131.1166666666667</v>
      </c>
      <c r="N94" s="6">
        <f t="shared" si="17"/>
        <v>4.7200000000000002E-3</v>
      </c>
      <c r="O94" s="5">
        <f t="shared" si="18"/>
        <v>0.46456692913385833</v>
      </c>
      <c r="P94" s="5">
        <f t="shared" si="19"/>
        <v>-0.5975547370574994</v>
      </c>
      <c r="Q94">
        <f t="shared" si="25"/>
        <v>0</v>
      </c>
      <c r="R94">
        <f t="shared" si="26"/>
        <v>0</v>
      </c>
    </row>
    <row r="95" spans="1:18" x14ac:dyDescent="0.3">
      <c r="A95" t="s">
        <v>158</v>
      </c>
      <c r="B95" t="s">
        <v>159</v>
      </c>
      <c r="C95" t="s">
        <v>11</v>
      </c>
      <c r="D95" t="s">
        <v>22</v>
      </c>
      <c r="E95" t="s">
        <v>19</v>
      </c>
      <c r="F95" t="s">
        <v>23</v>
      </c>
      <c r="G95" t="s">
        <v>24</v>
      </c>
      <c r="H95">
        <v>3903</v>
      </c>
      <c r="I95" t="s">
        <v>160</v>
      </c>
      <c r="J95" s="9">
        <v>2.896E-2</v>
      </c>
      <c r="K95" s="9">
        <v>4.3400000000000001E-2</v>
      </c>
      <c r="L95" s="4">
        <v>1642.25</v>
      </c>
      <c r="M95" s="4">
        <v>628.06666666666672</v>
      </c>
      <c r="N95" s="6">
        <f t="shared" si="17"/>
        <v>1.4440000000000001E-2</v>
      </c>
      <c r="O95" s="5">
        <f t="shared" si="18"/>
        <v>0.49861878453038688</v>
      </c>
      <c r="P95" s="5">
        <f t="shared" si="19"/>
        <v>-0.61755721317298418</v>
      </c>
      <c r="Q95">
        <f t="shared" si="25"/>
        <v>1</v>
      </c>
      <c r="R95">
        <f t="shared" si="26"/>
        <v>0</v>
      </c>
    </row>
    <row r="96" spans="1:18" x14ac:dyDescent="0.3">
      <c r="A96" t="s">
        <v>190</v>
      </c>
      <c r="B96" t="s">
        <v>191</v>
      </c>
      <c r="C96" t="s">
        <v>192</v>
      </c>
      <c r="D96" t="s">
        <v>22</v>
      </c>
      <c r="E96" t="s">
        <v>193</v>
      </c>
      <c r="F96" t="s">
        <v>194</v>
      </c>
      <c r="G96" t="s">
        <v>194</v>
      </c>
      <c r="H96">
        <v>486</v>
      </c>
      <c r="I96" t="s">
        <v>75</v>
      </c>
      <c r="J96" s="6">
        <v>3.1119999999999998E-2</v>
      </c>
      <c r="K96" s="6">
        <v>3.2500000000000001E-2</v>
      </c>
      <c r="L96" s="4">
        <v>24.06666666666667</v>
      </c>
      <c r="M96" s="4">
        <v>8.7333333333333325</v>
      </c>
      <c r="N96" s="6">
        <f t="shared" si="17"/>
        <v>1.3800000000000028E-3</v>
      </c>
      <c r="O96" s="5">
        <f t="shared" si="18"/>
        <v>4.4344473007712271E-2</v>
      </c>
      <c r="P96" s="5">
        <f t="shared" si="19"/>
        <v>-0.63711911357340734</v>
      </c>
      <c r="Q96">
        <f>+IFERROR(IF(AND(N96&gt;2%, O96&gt;20%),1,0),0)</f>
        <v>0</v>
      </c>
      <c r="R96">
        <f t="shared" si="22"/>
        <v>0</v>
      </c>
    </row>
    <row r="97" spans="1:18" x14ac:dyDescent="0.3">
      <c r="A97" t="s">
        <v>242</v>
      </c>
      <c r="B97" t="s">
        <v>243</v>
      </c>
      <c r="C97" t="s">
        <v>78</v>
      </c>
      <c r="D97" t="s">
        <v>22</v>
      </c>
      <c r="E97" t="s">
        <v>193</v>
      </c>
      <c r="F97" t="s">
        <v>194</v>
      </c>
      <c r="G97" t="s">
        <v>194</v>
      </c>
      <c r="H97">
        <v>713</v>
      </c>
      <c r="I97" t="s">
        <v>75</v>
      </c>
      <c r="J97" s="10">
        <v>3.1640000000000001E-2</v>
      </c>
      <c r="K97" s="10">
        <v>2.3519999999999999E-2</v>
      </c>
      <c r="L97" s="4">
        <v>95.6</v>
      </c>
      <c r="M97" s="4">
        <v>32.033333333333331</v>
      </c>
      <c r="N97" s="6">
        <f t="shared" si="17"/>
        <v>-8.1200000000000022E-3</v>
      </c>
      <c r="O97" s="5">
        <f t="shared" si="18"/>
        <v>-0.25663716814159299</v>
      </c>
      <c r="P97" s="5">
        <f t="shared" si="19"/>
        <v>-0.66492329149232909</v>
      </c>
      <c r="Q97">
        <f t="shared" ref="Q97:Q104" si="27">+IFERROR(IF(AND(N97&gt;1%, O97&gt;10%, K97&gt;=3%),1,0),0)</f>
        <v>0</v>
      </c>
      <c r="R97">
        <f t="shared" ref="R97:R104" si="28">+IFERROR(IF(AND(Q97=1, P97&gt;10%),1,0),0)</f>
        <v>0</v>
      </c>
    </row>
    <row r="98" spans="1:18" x14ac:dyDescent="0.3">
      <c r="A98" t="s">
        <v>104</v>
      </c>
      <c r="B98" t="s">
        <v>105</v>
      </c>
      <c r="C98" t="s">
        <v>11</v>
      </c>
      <c r="D98" t="s">
        <v>12</v>
      </c>
      <c r="E98" t="s">
        <v>19</v>
      </c>
      <c r="F98" t="s">
        <v>28</v>
      </c>
      <c r="G98" t="s">
        <v>15</v>
      </c>
      <c r="H98">
        <v>4960</v>
      </c>
      <c r="I98" t="s">
        <v>16</v>
      </c>
      <c r="J98" s="10">
        <v>4.8120000000000003E-2</v>
      </c>
      <c r="K98" s="10">
        <v>4.9799999999999997E-2</v>
      </c>
      <c r="L98" s="4">
        <v>349.25</v>
      </c>
      <c r="M98" s="4">
        <v>113.56666666666671</v>
      </c>
      <c r="N98" s="6">
        <f t="shared" ref="N98:N115" si="29">+K98-J98</f>
        <v>1.679999999999994E-3</v>
      </c>
      <c r="O98" s="5">
        <f t="shared" ref="O98:O115" si="30">+K98/J98-1</f>
        <v>3.4912718204488602E-2</v>
      </c>
      <c r="P98" s="5">
        <f t="shared" ref="P98:P115" si="31">+M98/L98-1</f>
        <v>-0.67482701026008107</v>
      </c>
      <c r="Q98">
        <f t="shared" si="27"/>
        <v>0</v>
      </c>
      <c r="R98">
        <f t="shared" si="28"/>
        <v>0</v>
      </c>
    </row>
    <row r="99" spans="1:18" x14ac:dyDescent="0.3">
      <c r="A99" t="s">
        <v>112</v>
      </c>
      <c r="B99" t="s">
        <v>113</v>
      </c>
      <c r="C99" t="s">
        <v>11</v>
      </c>
      <c r="D99" t="s">
        <v>12</v>
      </c>
      <c r="E99" t="s">
        <v>19</v>
      </c>
      <c r="F99" t="s">
        <v>28</v>
      </c>
      <c r="G99" t="s">
        <v>15</v>
      </c>
      <c r="H99">
        <v>3660</v>
      </c>
      <c r="I99" t="s">
        <v>16</v>
      </c>
      <c r="J99" s="10">
        <v>6.6320000000000004E-2</v>
      </c>
      <c r="K99" s="10">
        <v>7.2120000000000004E-2</v>
      </c>
      <c r="L99" s="4">
        <v>140.7833333333333</v>
      </c>
      <c r="M99" s="4">
        <v>43.033333333333331</v>
      </c>
      <c r="N99" s="6">
        <f t="shared" si="29"/>
        <v>5.7999999999999996E-3</v>
      </c>
      <c r="O99" s="5">
        <f t="shared" si="30"/>
        <v>8.7454764776839555E-2</v>
      </c>
      <c r="P99" s="5">
        <f t="shared" si="31"/>
        <v>-0.69432934769740728</v>
      </c>
      <c r="Q99">
        <f t="shared" si="27"/>
        <v>0</v>
      </c>
      <c r="R99">
        <f t="shared" si="28"/>
        <v>0</v>
      </c>
    </row>
    <row r="100" spans="1:18" x14ac:dyDescent="0.3">
      <c r="A100" t="s">
        <v>224</v>
      </c>
      <c r="B100" t="s">
        <v>225</v>
      </c>
      <c r="C100" t="s">
        <v>78</v>
      </c>
      <c r="D100" t="s">
        <v>12</v>
      </c>
      <c r="E100" t="s">
        <v>197</v>
      </c>
      <c r="F100" t="s">
        <v>79</v>
      </c>
      <c r="G100" t="s">
        <v>80</v>
      </c>
      <c r="H100">
        <v>504</v>
      </c>
      <c r="I100" t="s">
        <v>16</v>
      </c>
      <c r="J100" s="10">
        <v>8.2920000000000008E-2</v>
      </c>
      <c r="K100" s="10">
        <v>7.4939999999999993E-2</v>
      </c>
      <c r="L100" s="4">
        <v>142.48333333333329</v>
      </c>
      <c r="M100" s="4">
        <v>32.950000000000003</v>
      </c>
      <c r="N100" s="6">
        <f t="shared" si="29"/>
        <v>-7.9800000000000149E-3</v>
      </c>
      <c r="O100" s="5">
        <f t="shared" si="30"/>
        <v>-9.6237337192474848E-2</v>
      </c>
      <c r="P100" s="5">
        <f t="shared" si="31"/>
        <v>-0.76874488244239081</v>
      </c>
      <c r="Q100">
        <f t="shared" si="27"/>
        <v>0</v>
      </c>
      <c r="R100">
        <f t="shared" si="28"/>
        <v>0</v>
      </c>
    </row>
    <row r="101" spans="1:18" x14ac:dyDescent="0.3">
      <c r="A101" t="s">
        <v>57</v>
      </c>
      <c r="B101" t="s">
        <v>58</v>
      </c>
      <c r="C101" t="s">
        <v>11</v>
      </c>
      <c r="D101" t="s">
        <v>22</v>
      </c>
      <c r="E101" t="s">
        <v>13</v>
      </c>
      <c r="F101" t="s">
        <v>23</v>
      </c>
      <c r="G101" t="s">
        <v>24</v>
      </c>
      <c r="H101">
        <v>2697</v>
      </c>
      <c r="I101" t="s">
        <v>59</v>
      </c>
      <c r="J101" s="9">
        <v>2.402E-2</v>
      </c>
      <c r="K101" s="9">
        <v>3.4119999999999998E-2</v>
      </c>
      <c r="L101" s="4">
        <v>220.8666666666667</v>
      </c>
      <c r="M101" s="4">
        <v>44.5</v>
      </c>
      <c r="N101" s="6">
        <f t="shared" si="29"/>
        <v>1.0099999999999998E-2</v>
      </c>
      <c r="O101" s="5">
        <f t="shared" si="30"/>
        <v>0.42048293089092414</v>
      </c>
      <c r="P101" s="5">
        <f t="shared" si="31"/>
        <v>-0.79852097796559018</v>
      </c>
      <c r="Q101">
        <f t="shared" si="27"/>
        <v>1</v>
      </c>
      <c r="R101">
        <f t="shared" si="28"/>
        <v>0</v>
      </c>
    </row>
    <row r="102" spans="1:18" x14ac:dyDescent="0.3">
      <c r="A102" t="s">
        <v>143</v>
      </c>
      <c r="B102" t="s">
        <v>144</v>
      </c>
      <c r="C102" t="s">
        <v>11</v>
      </c>
      <c r="D102" t="s">
        <v>12</v>
      </c>
      <c r="E102" t="s">
        <v>68</v>
      </c>
      <c r="F102" t="s">
        <v>69</v>
      </c>
      <c r="G102" t="s">
        <v>15</v>
      </c>
      <c r="H102">
        <v>4661</v>
      </c>
      <c r="I102" t="s">
        <v>16</v>
      </c>
      <c r="J102" s="10">
        <v>8.6099999999999996E-2</v>
      </c>
      <c r="K102" s="10">
        <v>6.0199999999999997E-2</v>
      </c>
      <c r="L102" s="4">
        <v>824.63333333333333</v>
      </c>
      <c r="M102" s="4">
        <v>166.05</v>
      </c>
      <c r="N102" s="6">
        <f t="shared" si="29"/>
        <v>-2.5899999999999999E-2</v>
      </c>
      <c r="O102" s="5">
        <f t="shared" si="30"/>
        <v>-0.30081300813008127</v>
      </c>
      <c r="P102" s="5">
        <f t="shared" si="31"/>
        <v>-0.79863777840656458</v>
      </c>
      <c r="Q102">
        <f t="shared" si="27"/>
        <v>0</v>
      </c>
      <c r="R102">
        <f t="shared" si="28"/>
        <v>0</v>
      </c>
    </row>
    <row r="103" spans="1:18" x14ac:dyDescent="0.3">
      <c r="A103" t="s">
        <v>169</v>
      </c>
      <c r="B103" t="s">
        <v>170</v>
      </c>
      <c r="C103" t="s">
        <v>11</v>
      </c>
      <c r="D103" t="s">
        <v>12</v>
      </c>
      <c r="E103" t="s">
        <v>19</v>
      </c>
      <c r="F103" t="s">
        <v>14</v>
      </c>
      <c r="G103" t="s">
        <v>15</v>
      </c>
      <c r="H103">
        <v>4012</v>
      </c>
      <c r="I103" t="s">
        <v>16</v>
      </c>
      <c r="J103" s="9">
        <v>2.7099999999999999E-2</v>
      </c>
      <c r="K103" s="9">
        <v>4.8660000000000002E-2</v>
      </c>
      <c r="L103" s="4">
        <v>737.01666666666665</v>
      </c>
      <c r="M103" s="4">
        <v>137.01666666666671</v>
      </c>
      <c r="N103" s="6">
        <f t="shared" si="29"/>
        <v>2.1560000000000003E-2</v>
      </c>
      <c r="O103" s="5">
        <f t="shared" si="30"/>
        <v>0.7955719557195573</v>
      </c>
      <c r="P103" s="5">
        <f t="shared" si="31"/>
        <v>-0.81409285181248725</v>
      </c>
      <c r="Q103">
        <f t="shared" si="27"/>
        <v>1</v>
      </c>
      <c r="R103">
        <f t="shared" si="28"/>
        <v>0</v>
      </c>
    </row>
    <row r="104" spans="1:18" x14ac:dyDescent="0.3">
      <c r="A104" t="s">
        <v>90</v>
      </c>
      <c r="B104" t="s">
        <v>91</v>
      </c>
      <c r="C104" t="s">
        <v>11</v>
      </c>
      <c r="D104" t="s">
        <v>22</v>
      </c>
      <c r="E104" t="s">
        <v>13</v>
      </c>
      <c r="F104" t="s">
        <v>32</v>
      </c>
      <c r="G104" t="s">
        <v>24</v>
      </c>
      <c r="H104">
        <v>2279</v>
      </c>
      <c r="I104" t="s">
        <v>16</v>
      </c>
      <c r="J104" s="9">
        <v>6.7860000000000004E-2</v>
      </c>
      <c r="K104" s="9">
        <v>8.0640000000000003E-2</v>
      </c>
      <c r="L104" s="4">
        <v>1257.9000000000001</v>
      </c>
      <c r="M104" s="4">
        <v>208.73333333333329</v>
      </c>
      <c r="N104" s="6">
        <f t="shared" si="29"/>
        <v>1.278E-2</v>
      </c>
      <c r="O104" s="5">
        <f t="shared" si="30"/>
        <v>0.18832891246684347</v>
      </c>
      <c r="P104" s="5">
        <f t="shared" si="31"/>
        <v>-0.83406206110713632</v>
      </c>
      <c r="Q104">
        <f t="shared" si="27"/>
        <v>1</v>
      </c>
      <c r="R104">
        <f t="shared" si="28"/>
        <v>0</v>
      </c>
    </row>
    <row r="105" spans="1:18" x14ac:dyDescent="0.3">
      <c r="A105" t="s">
        <v>217</v>
      </c>
      <c r="B105" t="s">
        <v>218</v>
      </c>
      <c r="C105" t="s">
        <v>192</v>
      </c>
      <c r="D105" t="s">
        <v>12</v>
      </c>
      <c r="E105" t="s">
        <v>193</v>
      </c>
      <c r="F105" t="s">
        <v>194</v>
      </c>
      <c r="G105" t="s">
        <v>194</v>
      </c>
      <c r="H105">
        <v>1571</v>
      </c>
      <c r="I105" t="s">
        <v>16</v>
      </c>
      <c r="J105" s="6">
        <v>6.7119999999999999E-2</v>
      </c>
      <c r="K105" s="6">
        <v>4.7419999999999997E-2</v>
      </c>
      <c r="L105" s="4">
        <v>15.733333333333331</v>
      </c>
      <c r="M105" s="4">
        <v>2.5499999999999998</v>
      </c>
      <c r="N105" s="6">
        <f t="shared" si="29"/>
        <v>-1.9700000000000002E-2</v>
      </c>
      <c r="O105" s="5">
        <f t="shared" si="30"/>
        <v>-0.29350417163289633</v>
      </c>
      <c r="P105" s="5">
        <f t="shared" si="31"/>
        <v>-0.83792372881355925</v>
      </c>
      <c r="Q105">
        <f>+IFERROR(IF(AND(N105&gt;2%, O105&gt;20%),1,0),0)</f>
        <v>0</v>
      </c>
      <c r="R105">
        <f t="shared" si="22"/>
        <v>0</v>
      </c>
    </row>
    <row r="106" spans="1:18" x14ac:dyDescent="0.3">
      <c r="A106" t="s">
        <v>64</v>
      </c>
      <c r="B106" t="s">
        <v>65</v>
      </c>
      <c r="C106" t="s">
        <v>11</v>
      </c>
      <c r="D106" t="s">
        <v>12</v>
      </c>
      <c r="E106" t="s">
        <v>19</v>
      </c>
      <c r="F106" t="s">
        <v>14</v>
      </c>
      <c r="G106" t="s">
        <v>15</v>
      </c>
      <c r="H106">
        <v>4035</v>
      </c>
      <c r="I106" t="s">
        <v>16</v>
      </c>
      <c r="J106" s="10">
        <v>4.53E-2</v>
      </c>
      <c r="K106" s="10">
        <v>3.3820000000000003E-2</v>
      </c>
      <c r="L106" s="4">
        <v>225.18333333333331</v>
      </c>
      <c r="M106" s="4">
        <v>36.283333333333331</v>
      </c>
      <c r="N106" s="6">
        <f t="shared" si="29"/>
        <v>-1.1479999999999997E-2</v>
      </c>
      <c r="O106" s="5">
        <f t="shared" si="30"/>
        <v>-0.25342163355408387</v>
      </c>
      <c r="P106" s="5">
        <f t="shared" si="31"/>
        <v>-0.83887203019761669</v>
      </c>
      <c r="Q106">
        <f t="shared" ref="Q106:Q112" si="32">+IFERROR(IF(AND(N106&gt;1%, O106&gt;10%, K106&gt;=3%),1,0),0)</f>
        <v>0</v>
      </c>
      <c r="R106">
        <f t="shared" ref="R106:R112" si="33">+IFERROR(IF(AND(Q106=1, P106&gt;10%),1,0),0)</f>
        <v>0</v>
      </c>
    </row>
    <row r="107" spans="1:18" x14ac:dyDescent="0.3">
      <c r="A107" t="s">
        <v>125</v>
      </c>
      <c r="B107" t="s">
        <v>126</v>
      </c>
      <c r="C107" t="s">
        <v>11</v>
      </c>
      <c r="D107" t="s">
        <v>22</v>
      </c>
      <c r="E107" t="s">
        <v>19</v>
      </c>
      <c r="F107" t="s">
        <v>51</v>
      </c>
      <c r="G107" t="s">
        <v>24</v>
      </c>
      <c r="H107">
        <v>3910</v>
      </c>
      <c r="I107" t="s">
        <v>122</v>
      </c>
      <c r="J107" s="10">
        <v>3.8339999999999999E-2</v>
      </c>
      <c r="K107" s="10">
        <v>4.7539999999999999E-2</v>
      </c>
      <c r="L107" s="4">
        <v>1684.4833333333329</v>
      </c>
      <c r="M107" s="4">
        <v>254.81666666666669</v>
      </c>
      <c r="N107" s="6">
        <f t="shared" si="29"/>
        <v>9.1999999999999998E-3</v>
      </c>
      <c r="O107" s="5">
        <f t="shared" si="30"/>
        <v>0.23995826812728227</v>
      </c>
      <c r="P107" s="5">
        <f t="shared" si="31"/>
        <v>-0.84872710722377775</v>
      </c>
      <c r="Q107">
        <f t="shared" si="32"/>
        <v>0</v>
      </c>
      <c r="R107">
        <f t="shared" si="33"/>
        <v>0</v>
      </c>
    </row>
    <row r="108" spans="1:18" x14ac:dyDescent="0.3">
      <c r="A108" t="s">
        <v>240</v>
      </c>
      <c r="B108" t="s">
        <v>241</v>
      </c>
      <c r="C108" t="s">
        <v>78</v>
      </c>
      <c r="D108" t="s">
        <v>22</v>
      </c>
      <c r="E108" t="s">
        <v>197</v>
      </c>
      <c r="F108" t="s">
        <v>194</v>
      </c>
      <c r="G108" t="s">
        <v>194</v>
      </c>
      <c r="H108">
        <v>920</v>
      </c>
      <c r="I108" t="s">
        <v>75</v>
      </c>
      <c r="J108" s="9">
        <v>9.1000000000000004E-3</v>
      </c>
      <c r="K108" s="9">
        <v>2.5839999999999991E-2</v>
      </c>
      <c r="L108" s="4">
        <v>96.733333333333334</v>
      </c>
      <c r="M108" s="4">
        <v>9.5500000000000007</v>
      </c>
      <c r="N108" s="6">
        <f t="shared" si="29"/>
        <v>1.6739999999999991E-2</v>
      </c>
      <c r="O108" s="5">
        <f t="shared" si="30"/>
        <v>1.8395604395604384</v>
      </c>
      <c r="P108" s="5">
        <f t="shared" si="31"/>
        <v>-0.90127498277050311</v>
      </c>
      <c r="Q108">
        <f t="shared" si="32"/>
        <v>0</v>
      </c>
      <c r="R108">
        <f t="shared" si="33"/>
        <v>0</v>
      </c>
    </row>
    <row r="109" spans="1:18" x14ac:dyDescent="0.3">
      <c r="A109" t="s">
        <v>66</v>
      </c>
      <c r="B109" t="s">
        <v>67</v>
      </c>
      <c r="C109" t="s">
        <v>11</v>
      </c>
      <c r="D109" t="s">
        <v>12</v>
      </c>
      <c r="E109" t="s">
        <v>68</v>
      </c>
      <c r="F109" t="s">
        <v>69</v>
      </c>
      <c r="G109" t="s">
        <v>15</v>
      </c>
      <c r="H109">
        <v>3154</v>
      </c>
      <c r="I109" t="s">
        <v>16</v>
      </c>
      <c r="J109" s="9">
        <v>7.5139999999999998E-2</v>
      </c>
      <c r="K109" s="9">
        <v>0.12986</v>
      </c>
      <c r="L109" s="4">
        <v>336.7166666666667</v>
      </c>
      <c r="M109" s="4">
        <v>30.25</v>
      </c>
      <c r="N109" s="6">
        <f t="shared" si="29"/>
        <v>5.4720000000000005E-2</v>
      </c>
      <c r="O109" s="5">
        <f t="shared" si="30"/>
        <v>0.72824061751397395</v>
      </c>
      <c r="P109" s="5">
        <f t="shared" si="31"/>
        <v>-0.91016185714992826</v>
      </c>
      <c r="Q109">
        <f t="shared" si="32"/>
        <v>1</v>
      </c>
      <c r="R109">
        <f t="shared" si="33"/>
        <v>0</v>
      </c>
    </row>
    <row r="110" spans="1:18" x14ac:dyDescent="0.3">
      <c r="A110" t="s">
        <v>73</v>
      </c>
      <c r="B110" t="s">
        <v>74</v>
      </c>
      <c r="C110" t="s">
        <v>11</v>
      </c>
      <c r="D110" t="s">
        <v>22</v>
      </c>
      <c r="E110" t="s">
        <v>19</v>
      </c>
      <c r="F110" t="s">
        <v>51</v>
      </c>
      <c r="G110" t="s">
        <v>24</v>
      </c>
      <c r="H110">
        <v>4442</v>
      </c>
      <c r="I110" t="s">
        <v>75</v>
      </c>
      <c r="J110" s="10">
        <v>2.3779999999999999E-2</v>
      </c>
      <c r="K110" s="10">
        <v>1.626E-2</v>
      </c>
      <c r="L110" s="4">
        <v>103.4666666666667</v>
      </c>
      <c r="M110" s="4">
        <v>7.05</v>
      </c>
      <c r="N110" s="6">
        <f t="shared" si="29"/>
        <v>-7.5199999999999989E-3</v>
      </c>
      <c r="O110" s="5">
        <f t="shared" si="30"/>
        <v>-0.31623212783851973</v>
      </c>
      <c r="P110" s="5">
        <f t="shared" si="31"/>
        <v>-0.93186211340206193</v>
      </c>
      <c r="Q110">
        <f t="shared" si="32"/>
        <v>0</v>
      </c>
      <c r="R110">
        <f t="shared" si="33"/>
        <v>0</v>
      </c>
    </row>
    <row r="111" spans="1:18" x14ac:dyDescent="0.3">
      <c r="A111" t="s">
        <v>123</v>
      </c>
      <c r="B111" t="s">
        <v>124</v>
      </c>
      <c r="C111" t="s">
        <v>11</v>
      </c>
      <c r="D111" t="s">
        <v>22</v>
      </c>
      <c r="E111" t="s">
        <v>13</v>
      </c>
      <c r="F111" t="s">
        <v>23</v>
      </c>
      <c r="G111" t="s">
        <v>24</v>
      </c>
      <c r="H111">
        <v>3360</v>
      </c>
      <c r="I111" t="s">
        <v>59</v>
      </c>
      <c r="J111" s="10">
        <v>5.9420000000000008E-2</v>
      </c>
      <c r="K111" s="10">
        <v>5.3959999999999987E-2</v>
      </c>
      <c r="L111" s="4">
        <v>165.3666666666667</v>
      </c>
      <c r="M111" s="4">
        <v>9.0166666666666675</v>
      </c>
      <c r="N111" s="6">
        <f t="shared" si="29"/>
        <v>-5.4600000000000204E-3</v>
      </c>
      <c r="O111" s="5">
        <f t="shared" si="30"/>
        <v>-9.1888253113430185E-2</v>
      </c>
      <c r="P111" s="5">
        <f t="shared" si="31"/>
        <v>-0.94547470268091116</v>
      </c>
      <c r="Q111">
        <f t="shared" si="32"/>
        <v>0</v>
      </c>
      <c r="R111">
        <f t="shared" si="33"/>
        <v>0</v>
      </c>
    </row>
    <row r="112" spans="1:18" x14ac:dyDescent="0.3">
      <c r="A112" t="s">
        <v>248</v>
      </c>
      <c r="B112" t="s">
        <v>249</v>
      </c>
      <c r="C112" t="s">
        <v>78</v>
      </c>
      <c r="D112" t="s">
        <v>12</v>
      </c>
      <c r="E112" t="s">
        <v>193</v>
      </c>
      <c r="F112" t="s">
        <v>194</v>
      </c>
      <c r="G112" t="s">
        <v>194</v>
      </c>
      <c r="H112">
        <v>690</v>
      </c>
      <c r="I112" t="s">
        <v>16</v>
      </c>
      <c r="J112" s="9">
        <v>4.7140000000000001E-2</v>
      </c>
      <c r="K112" s="9">
        <v>6.1119999999999987E-2</v>
      </c>
      <c r="L112" s="4">
        <v>163.06666666666669</v>
      </c>
      <c r="M112" s="4">
        <v>8.2166666666666668</v>
      </c>
      <c r="N112" s="6">
        <f t="shared" si="29"/>
        <v>1.3979999999999985E-2</v>
      </c>
      <c r="O112" s="5">
        <f t="shared" si="30"/>
        <v>0.29656342808655034</v>
      </c>
      <c r="P112" s="5">
        <f t="shared" si="31"/>
        <v>-0.94961161079313161</v>
      </c>
      <c r="Q112">
        <f t="shared" si="32"/>
        <v>1</v>
      </c>
      <c r="R112">
        <f t="shared" si="33"/>
        <v>0</v>
      </c>
    </row>
    <row r="113" spans="1:18" x14ac:dyDescent="0.3">
      <c r="A113" t="s">
        <v>262</v>
      </c>
      <c r="B113" t="s">
        <v>263</v>
      </c>
      <c r="C113" t="s">
        <v>254</v>
      </c>
      <c r="D113" t="s">
        <v>12</v>
      </c>
      <c r="E113" t="s">
        <v>259</v>
      </c>
      <c r="F113" t="s">
        <v>256</v>
      </c>
      <c r="G113" t="s">
        <v>256</v>
      </c>
      <c r="H113">
        <v>1152</v>
      </c>
      <c r="I113" t="s">
        <v>16</v>
      </c>
      <c r="J113" s="6">
        <v>0.12864</v>
      </c>
      <c r="K113" s="6">
        <v>0.10692500000000001</v>
      </c>
      <c r="L113" s="4">
        <v>541.5333333333333</v>
      </c>
      <c r="M113" s="4">
        <v>26.633333333333329</v>
      </c>
      <c r="N113" s="6">
        <f t="shared" si="29"/>
        <v>-2.1714999999999998E-2</v>
      </c>
      <c r="O113" s="5">
        <f t="shared" si="30"/>
        <v>-0.1688044154228856</v>
      </c>
      <c r="P113" s="5">
        <f t="shared" si="31"/>
        <v>-0.95081866305552132</v>
      </c>
      <c r="Q113">
        <f>+IFERROR(IF(AND(N113&gt;2%, O113&gt;20%),1,0),0)</f>
        <v>0</v>
      </c>
      <c r="R113">
        <f t="shared" si="22"/>
        <v>0</v>
      </c>
    </row>
    <row r="114" spans="1:18" x14ac:dyDescent="0.3">
      <c r="A114" t="s">
        <v>164</v>
      </c>
      <c r="B114" t="s">
        <v>165</v>
      </c>
      <c r="C114" t="s">
        <v>11</v>
      </c>
      <c r="D114" t="s">
        <v>22</v>
      </c>
      <c r="E114" t="s">
        <v>19</v>
      </c>
      <c r="F114" t="s">
        <v>51</v>
      </c>
      <c r="G114" t="s">
        <v>24</v>
      </c>
      <c r="H114">
        <v>4822</v>
      </c>
      <c r="I114" t="s">
        <v>75</v>
      </c>
      <c r="J114" s="9">
        <v>1.272E-2</v>
      </c>
      <c r="K114" s="9">
        <v>5.2200000000000003E-2</v>
      </c>
      <c r="L114" s="4">
        <v>742.4666666666667</v>
      </c>
      <c r="M114" s="4">
        <v>6.2166666666666668</v>
      </c>
      <c r="N114" s="6">
        <f t="shared" si="29"/>
        <v>3.9480000000000001E-2</v>
      </c>
      <c r="O114" s="5">
        <f t="shared" si="30"/>
        <v>3.1037735849056602</v>
      </c>
      <c r="P114" s="5">
        <f t="shared" si="31"/>
        <v>-0.99162700906886958</v>
      </c>
      <c r="Q114">
        <f t="shared" ref="Q114:Q115" si="34">+IFERROR(IF(AND(N114&gt;1%, O114&gt;10%, K114&gt;=3%),1,0),0)</f>
        <v>1</v>
      </c>
      <c r="R114">
        <f t="shared" ref="R114:R115" si="35">+IFERROR(IF(AND(Q114=1, P114&gt;10%),1,0),0)</f>
        <v>0</v>
      </c>
    </row>
    <row r="115" spans="1:18" x14ac:dyDescent="0.3">
      <c r="A115" t="s">
        <v>228</v>
      </c>
      <c r="B115" t="s">
        <v>229</v>
      </c>
      <c r="C115" t="s">
        <v>78</v>
      </c>
      <c r="D115" t="s">
        <v>22</v>
      </c>
      <c r="E115" t="s">
        <v>197</v>
      </c>
      <c r="F115" t="s">
        <v>230</v>
      </c>
      <c r="G115" t="s">
        <v>24</v>
      </c>
      <c r="H115">
        <v>940</v>
      </c>
      <c r="I115" t="s">
        <v>122</v>
      </c>
      <c r="J115" s="10">
        <v>2.2733333333333331E-2</v>
      </c>
      <c r="K115" s="10"/>
      <c r="L115" s="4">
        <v>34.016666666666673</v>
      </c>
      <c r="M115" s="4">
        <v>0</v>
      </c>
      <c r="N115" s="6">
        <f t="shared" si="29"/>
        <v>-2.2733333333333331E-2</v>
      </c>
      <c r="O115" s="5">
        <f t="shared" si="30"/>
        <v>-1</v>
      </c>
      <c r="P115" s="5">
        <f t="shared" si="31"/>
        <v>-1</v>
      </c>
      <c r="Q115">
        <f t="shared" si="34"/>
        <v>0</v>
      </c>
      <c r="R115">
        <f t="shared" si="35"/>
        <v>0</v>
      </c>
    </row>
  </sheetData>
  <autoFilter ref="A1:R1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Paredes</cp:lastModifiedBy>
  <dcterms:created xsi:type="dcterms:W3CDTF">2026-06-11T19:52:58Z</dcterms:created>
  <dcterms:modified xsi:type="dcterms:W3CDTF">2026-06-12T00:52:59Z</dcterms:modified>
</cp:coreProperties>
</file>